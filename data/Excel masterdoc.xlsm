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https://d.docs.live.net/c4c6d87885778817/Documents/Undocumented campaign/undocu-page-builder/src/"/>
    </mc:Choice>
  </mc:AlternateContent>
  <xr:revisionPtr revIDLastSave="1" documentId="11_2C02B73E37F789497F34E058E45953EC0556ED1A" xr6:coauthVersionLast="47" xr6:coauthVersionMax="47" xr10:uidLastSave="{7A90AFC7-783B-234F-AC74-3CE9C8D5E179}"/>
  <bookViews>
    <workbookView xWindow="0" yWindow="0" windowWidth="28800" windowHeight="18000" xr2:uid="{00000000-000D-0000-FFFF-FFFF00000000}"/>
  </bookViews>
  <sheets>
    <sheet name="Contact Information" sheetId="1" r:id="rId1"/>
    <sheet name="Process information" sheetId="2" r:id="rId2"/>
  </sheets>
  <definedNames>
    <definedName name="email_address_0">'Contact Information'!$B$1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7" roundtripDataSignature="AMtx7mgIyZ8oGwWqxivbXlO2qREpOwIZgQ=="/>
    </ext>
  </extLst>
</workbook>
</file>

<file path=xl/calcChain.xml><?xml version="1.0" encoding="utf-8"?>
<calcChain xmlns="http://schemas.openxmlformats.org/spreadsheetml/2006/main">
  <c r="C1516" i="1" l="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alcChain>
</file>

<file path=xl/sharedStrings.xml><?xml version="1.0" encoding="utf-8"?>
<sst xmlns="http://schemas.openxmlformats.org/spreadsheetml/2006/main" count="3665" uniqueCount="3585">
  <si>
    <t>College</t>
  </si>
  <si>
    <t>Email</t>
  </si>
  <si>
    <t>Domain</t>
  </si>
  <si>
    <t>RegEx Formula</t>
  </si>
  <si>
    <t>Abilene Christian University</t>
  </si>
  <si>
    <t>info@admissions.acu.edu</t>
  </si>
  <si>
    <t>[\.\@]([a-zA-Z\-]*)\.edu</t>
  </si>
  <si>
    <t>Academy Of Art University</t>
  </si>
  <si>
    <t>admissions@academyart.edu</t>
  </si>
  <si>
    <t>Adams State University</t>
  </si>
  <si>
    <t>admissions@adams.edu</t>
  </si>
  <si>
    <t>Adelphi University</t>
  </si>
  <si>
    <t>admissions@adelphi.edu</t>
  </si>
  <si>
    <t>Adrian College</t>
  </si>
  <si>
    <t>admissions@adrian.edu</t>
  </si>
  <si>
    <t>Agnes Scott College</t>
  </si>
  <si>
    <t>admission@agnesscott.edu</t>
  </si>
  <si>
    <t>Alabama Agricultural And Mechanical University</t>
  </si>
  <si>
    <t>admissions@aamu.edu</t>
  </si>
  <si>
    <t>Alabama State University</t>
  </si>
  <si>
    <t>admissions@alasu.edu</t>
  </si>
  <si>
    <t>Alaska Bible College</t>
  </si>
  <si>
    <t>info@akbible.edu</t>
  </si>
  <si>
    <t>Alaska Pacific University</t>
  </si>
  <si>
    <t>admissions@alaskapacific.edu</t>
  </si>
  <si>
    <t>Albany College Pharmacy And Health Sciences</t>
  </si>
  <si>
    <t>admissions@acphs.edu</t>
  </si>
  <si>
    <t>Albany State University</t>
  </si>
  <si>
    <t>admissions@asurams.edu</t>
  </si>
  <si>
    <t>Albertus Magnus College</t>
  </si>
  <si>
    <t>admissions@albertus.edu</t>
  </si>
  <si>
    <t>Albion College</t>
  </si>
  <si>
    <t>admission@albion.edu</t>
  </si>
  <si>
    <t>Albright College</t>
  </si>
  <si>
    <t>admission@alb.edu</t>
  </si>
  <si>
    <t>Alcorn State University</t>
  </si>
  <si>
    <t>ksampson@alcorn.edu</t>
  </si>
  <si>
    <t>Alderson Broaddus University</t>
  </si>
  <si>
    <t>admissions@ab.edu</t>
  </si>
  <si>
    <t>Alfred University</t>
  </si>
  <si>
    <t>admissions@alfred.edu</t>
  </si>
  <si>
    <t>Alice Lloyd College</t>
  </si>
  <si>
    <t>admissions@alc.edu</t>
  </si>
  <si>
    <t>Allegheny College</t>
  </si>
  <si>
    <t>admissions@allegheny.edu</t>
  </si>
  <si>
    <t>Allen College</t>
  </si>
  <si>
    <t>admissions@allencollege.edu</t>
  </si>
  <si>
    <t>Allen University</t>
  </si>
  <si>
    <t>admissions@allenuniversity.edu</t>
  </si>
  <si>
    <t>Alma College</t>
  </si>
  <si>
    <t>admissions@alma.edu</t>
  </si>
  <si>
    <t>Alvernia University</t>
  </si>
  <si>
    <t>admissions@alvernia.edu</t>
  </si>
  <si>
    <t>Alverno College</t>
  </si>
  <si>
    <t>admissions@alverno.edu</t>
  </si>
  <si>
    <t>American Baptist College</t>
  </si>
  <si>
    <t>atrice@abcnash.edu</t>
  </si>
  <si>
    <t>American International College</t>
  </si>
  <si>
    <t>admissions@aic.edu</t>
  </si>
  <si>
    <t>American Jewish University</t>
  </si>
  <si>
    <t>admissions@aju.edu</t>
  </si>
  <si>
    <t>American University</t>
  </si>
  <si>
    <t>admissions@american.edu</t>
  </si>
  <si>
    <t>American University Beirut Aub</t>
  </si>
  <si>
    <t>admissions@aub.edu.lb</t>
  </si>
  <si>
    <t>American University Bulgaria</t>
  </si>
  <si>
    <t>admissions@aubg.edu</t>
  </si>
  <si>
    <t>American University Paris</t>
  </si>
  <si>
    <t>admissions@aup.edu</t>
  </si>
  <si>
    <t>American University Rome</t>
  </si>
  <si>
    <t>admissions@aur.edu</t>
  </si>
  <si>
    <t>Amherst College</t>
  </si>
  <si>
    <t>admission@amherst.edu</t>
  </si>
  <si>
    <t>Anderson University</t>
  </si>
  <si>
    <t>info@anderson.edu</t>
  </si>
  <si>
    <t>Andrews University</t>
  </si>
  <si>
    <t>enroll@andrews.edu</t>
  </si>
  <si>
    <t>Angelo State University</t>
  </si>
  <si>
    <t>admissions@angelo.edu</t>
  </si>
  <si>
    <t>Anna Maria College</t>
  </si>
  <si>
    <t>admission@annamaria.edu</t>
  </si>
  <si>
    <t>Antioch College</t>
  </si>
  <si>
    <t>admission@antiochcollege.edu</t>
  </si>
  <si>
    <t>Appalachian Bible College</t>
  </si>
  <si>
    <t>admissions@abc.edu</t>
  </si>
  <si>
    <t>Appalachian State University</t>
  </si>
  <si>
    <t>admissions@appstate.edu</t>
  </si>
  <si>
    <t>Aquinas College</t>
  </si>
  <si>
    <t>admissions@aquinas.edu</t>
  </si>
  <si>
    <t>admissions@aquinascollege.edu</t>
  </si>
  <si>
    <t>Arcadia University</t>
  </si>
  <si>
    <t>admiss@arcadia.edu</t>
  </si>
  <si>
    <t>Arizona Christian University</t>
  </si>
  <si>
    <t>admissions@arizonachristian.edu</t>
  </si>
  <si>
    <t>Arizona State University</t>
  </si>
  <si>
    <t>admissions@asu.edu</t>
  </si>
  <si>
    <t>Arkansas Baptist College</t>
  </si>
  <si>
    <t>admissions@arkansasbaptist.edu</t>
  </si>
  <si>
    <t>Arkansas State University</t>
  </si>
  <si>
    <t>admissions@astate.edu</t>
  </si>
  <si>
    <t>Arkansas Tech University</t>
  </si>
  <si>
    <t>tech.enroll@atu.edu</t>
  </si>
  <si>
    <t>Arlington Baptist University</t>
  </si>
  <si>
    <t>kmarvin@arlingtonbaptistcollege.edu</t>
  </si>
  <si>
    <t>Art Academy Cincinnati</t>
  </si>
  <si>
    <t>admissions@artacademy.edu</t>
  </si>
  <si>
    <t>Art Center College Of Design</t>
  </si>
  <si>
    <t>admissions@artcenter.edu</t>
  </si>
  <si>
    <t>Asbury University</t>
  </si>
  <si>
    <t>admissions@asbury.edu</t>
  </si>
  <si>
    <t>Ashland University</t>
  </si>
  <si>
    <t>enrollme@ashland.edu</t>
  </si>
  <si>
    <t>Assumption College</t>
  </si>
  <si>
    <t>admiss@assumption.edu</t>
  </si>
  <si>
    <t>Athens State University</t>
  </si>
  <si>
    <t>admissions@athens.edu</t>
  </si>
  <si>
    <t>Auburn University</t>
  </si>
  <si>
    <t>admissions@auburn.edu</t>
  </si>
  <si>
    <t>Auburn University At Montgomery</t>
  </si>
  <si>
    <t>admissions@aum.edu</t>
  </si>
  <si>
    <t>Augsburg University</t>
  </si>
  <si>
    <t>admissions@augsburg.edu</t>
  </si>
  <si>
    <t>Augusta University</t>
  </si>
  <si>
    <t>admissions@augusta.edu</t>
  </si>
  <si>
    <t>Augustana College Illinois</t>
  </si>
  <si>
    <t>admissions@augustana.edu</t>
  </si>
  <si>
    <t>Augustana University South Dakota</t>
  </si>
  <si>
    <t>admission@augie.edu</t>
  </si>
  <si>
    <t>Aurora University</t>
  </si>
  <si>
    <t>admission@aurora.edu</t>
  </si>
  <si>
    <t>Austin College</t>
  </si>
  <si>
    <t>admission@austincollege.edu</t>
  </si>
  <si>
    <t>Austin Graduate School Of Theology</t>
  </si>
  <si>
    <t>admissions@austingrad.edu</t>
  </si>
  <si>
    <t>Austin Peay State University</t>
  </si>
  <si>
    <t>admissions@apsu.edu</t>
  </si>
  <si>
    <t>Ave Maria University</t>
  </si>
  <si>
    <t>admissions@avemaria.edu</t>
  </si>
  <si>
    <t>Averett University</t>
  </si>
  <si>
    <t>admit@averett.edu</t>
  </si>
  <si>
    <t>Avila University</t>
  </si>
  <si>
    <t>admissions@avila.edu</t>
  </si>
  <si>
    <t>Azusa Pacific University</t>
  </si>
  <si>
    <t>admissions@apu.edu</t>
  </si>
  <si>
    <t>Babson College</t>
  </si>
  <si>
    <t>ugradadmission@babson.edu</t>
  </si>
  <si>
    <t>Baker University</t>
  </si>
  <si>
    <t>admission@bakeru.edu</t>
  </si>
  <si>
    <t>Baldwin Wallace University</t>
  </si>
  <si>
    <t>admission@bw.edu</t>
  </si>
  <si>
    <t>Ball State University</t>
  </si>
  <si>
    <t>askus@bsu.edu</t>
  </si>
  <si>
    <t>Baptist College Of Florida</t>
  </si>
  <si>
    <t>admissions@baptistcollege.edu</t>
  </si>
  <si>
    <t>Baptist College Of Health Sciences</t>
  </si>
  <si>
    <t>admissions@bchs.edu</t>
  </si>
  <si>
    <t>Barclay College</t>
  </si>
  <si>
    <t>admissions@barclaycollege.edu</t>
  </si>
  <si>
    <t>Bard College</t>
  </si>
  <si>
    <t>admission@bard.edu</t>
  </si>
  <si>
    <t>Bard College Simons Rock Early College</t>
  </si>
  <si>
    <t>admit@simons-rock.edu</t>
  </si>
  <si>
    <t>Barnard College</t>
  </si>
  <si>
    <t>admissions@barnard.edu</t>
  </si>
  <si>
    <t>Barry University</t>
  </si>
  <si>
    <t>admissions@barry.edu</t>
  </si>
  <si>
    <t>Barton College</t>
  </si>
  <si>
    <t>enroll@barton.edu</t>
  </si>
  <si>
    <t>Bastyr University</t>
  </si>
  <si>
    <t>admissions@bastyr.edu</t>
  </si>
  <si>
    <t>Bates College(r)</t>
  </si>
  <si>
    <t>admission@bates.edu</t>
  </si>
  <si>
    <t>Bay Path University</t>
  </si>
  <si>
    <t>admiss@baypath.edu</t>
  </si>
  <si>
    <t>Baylor University</t>
  </si>
  <si>
    <t>admissions@baylor.edu</t>
  </si>
  <si>
    <t>Beacon College</t>
  </si>
  <si>
    <t>admissions@beaconcollege.edu</t>
  </si>
  <si>
    <t>Becker College</t>
  </si>
  <si>
    <t>admissions@becker.edu</t>
  </si>
  <si>
    <t>Belhaven University</t>
  </si>
  <si>
    <t>admission@belhaven.edu</t>
  </si>
  <si>
    <t>Bellarmine University</t>
  </si>
  <si>
    <t>admission@bellarmine.edu</t>
  </si>
  <si>
    <t>Belmont Abbey College</t>
  </si>
  <si>
    <t>admissions@bac.edu</t>
  </si>
  <si>
    <t>Belmont University</t>
  </si>
  <si>
    <t>admissions@belmont.edu</t>
  </si>
  <si>
    <t>Beloit College</t>
  </si>
  <si>
    <t>admiss@beloit.edu</t>
  </si>
  <si>
    <t>Bemidji State University</t>
  </si>
  <si>
    <t>admissions@bemidjistate.edu</t>
  </si>
  <si>
    <t>Benedict College</t>
  </si>
  <si>
    <t>admissions@benedict.edu</t>
  </si>
  <si>
    <t>Benedictine College</t>
  </si>
  <si>
    <t>bcaudle@benedictine.edu</t>
  </si>
  <si>
    <t>Benedictine University Az</t>
  </si>
  <si>
    <t>mesa@ben.edu</t>
  </si>
  <si>
    <t>Bennett College</t>
  </si>
  <si>
    <t>admiss@bennett.edu</t>
  </si>
  <si>
    <t>Bennington College</t>
  </si>
  <si>
    <t>admissions@bennington.edu</t>
  </si>
  <si>
    <t>Bentley University</t>
  </si>
  <si>
    <t>ugadmission@bentley.edu</t>
  </si>
  <si>
    <t>Berea College</t>
  </si>
  <si>
    <t>admissions@berea.edu</t>
  </si>
  <si>
    <t>Berklee College Of Music</t>
  </si>
  <si>
    <t>admissions@berklee.edu</t>
  </si>
  <si>
    <t>Berry College</t>
  </si>
  <si>
    <t>admissions@berry.edu</t>
  </si>
  <si>
    <t>Bethany College</t>
  </si>
  <si>
    <t>enrollment@bethanywv.edu</t>
  </si>
  <si>
    <t>admissions@bethanylb.edu</t>
  </si>
  <si>
    <t>Bethany Lutheran College</t>
  </si>
  <si>
    <t>admissions@blc.edu</t>
  </si>
  <si>
    <t>Bethel College</t>
  </si>
  <si>
    <t>admissions@bethelcollege.edu</t>
  </si>
  <si>
    <t>admissions@bethelks.edu</t>
  </si>
  <si>
    <t>Bethel University</t>
  </si>
  <si>
    <t>admissions@bethelu.edu</t>
  </si>
  <si>
    <t>buadmissions-cas@bethel.edu</t>
  </si>
  <si>
    <t>Bethune Cookman University</t>
  </si>
  <si>
    <t>admissions@cookman.edu</t>
  </si>
  <si>
    <t>Beulah Heights University</t>
  </si>
  <si>
    <t>admissions@beulah.edu</t>
  </si>
  <si>
    <t>Biola University</t>
  </si>
  <si>
    <t>admissions@biola.edu</t>
  </si>
  <si>
    <t>Birmingham Southern College</t>
  </si>
  <si>
    <t>admiss@bsc.edu</t>
  </si>
  <si>
    <t>Black Hills State University</t>
  </si>
  <si>
    <t>admissions@bhsu.edu</t>
  </si>
  <si>
    <t>Blackburn College</t>
  </si>
  <si>
    <t>admit@blackburn.edu</t>
  </si>
  <si>
    <t>Blessing Rieman College Of Nursing</t>
  </si>
  <si>
    <t>admissions@brcn.edu</t>
  </si>
  <si>
    <t>Bloomfield College</t>
  </si>
  <si>
    <t>admission@bloomfield.edu</t>
  </si>
  <si>
    <t>Bloomsburg University Of Pennsylvania</t>
  </si>
  <si>
    <t>buadmiss@bloomu.edu</t>
  </si>
  <si>
    <t>Blue Mountain College</t>
  </si>
  <si>
    <t>admissions@bmc.edu</t>
  </si>
  <si>
    <t>Bluefield College</t>
  </si>
  <si>
    <t>admissions@bluefield.edu</t>
  </si>
  <si>
    <t>Bluefield State College</t>
  </si>
  <si>
    <t>jschlimmer@bluefieldstate.edu</t>
  </si>
  <si>
    <t>Bluffton University</t>
  </si>
  <si>
    <t>admissions@bluffton.edu</t>
  </si>
  <si>
    <t>Bob Jones University</t>
  </si>
  <si>
    <t>admission@bju.edu</t>
  </si>
  <si>
    <t>Boise State University</t>
  </si>
  <si>
    <t>admissions@boisestate.edu</t>
  </si>
  <si>
    <t>Boston College</t>
  </si>
  <si>
    <t>bcapplicant@bc.edu</t>
  </si>
  <si>
    <t>Boston University</t>
  </si>
  <si>
    <t>admissions@bu.edu</t>
  </si>
  <si>
    <t>Bowdoin College</t>
  </si>
  <si>
    <t>admissions@bowdoin.edu</t>
  </si>
  <si>
    <t>Bowie State University</t>
  </si>
  <si>
    <t>ugradadmissions@bowiestate.edu</t>
  </si>
  <si>
    <t>Bowling Green State University</t>
  </si>
  <si>
    <t>choosebgsu@bgsu.edu</t>
  </si>
  <si>
    <t>Bradley University</t>
  </si>
  <si>
    <t>admissions@bradley.edu</t>
  </si>
  <si>
    <t>Brandeis University</t>
  </si>
  <si>
    <t>admissions@brandeis.edu</t>
  </si>
  <si>
    <t>Brenau University</t>
  </si>
  <si>
    <t>admissions@brenau.edu</t>
  </si>
  <si>
    <t>Brescia University</t>
  </si>
  <si>
    <t>admissions@brescia.edu</t>
  </si>
  <si>
    <t>Brevard College</t>
  </si>
  <si>
    <t>admissions@brevard.edu</t>
  </si>
  <si>
    <t>Brewton Parker College</t>
  </si>
  <si>
    <t>admissions@bpc.edu</t>
  </si>
  <si>
    <t>Briar Cliff University</t>
  </si>
  <si>
    <t>admissions@briarcliff.edu</t>
  </si>
  <si>
    <t>Bridgewater College</t>
  </si>
  <si>
    <t>admissions@bridgewater.edu</t>
  </si>
  <si>
    <t>Bridgewater State University</t>
  </si>
  <si>
    <t>admission@bridgew.edu</t>
  </si>
  <si>
    <t>Brigham Young University Hawaii</t>
  </si>
  <si>
    <t>admissions@byuh.edu</t>
  </si>
  <si>
    <t>Brigham Young University Idaho</t>
  </si>
  <si>
    <t>admissions@byui.edu</t>
  </si>
  <si>
    <t>Brigham Young University Provo</t>
  </si>
  <si>
    <t>admissions@byu.edu</t>
  </si>
  <si>
    <t>Bryan College</t>
  </si>
  <si>
    <t>admiss@bryan.edu</t>
  </si>
  <si>
    <t>Bryant University</t>
  </si>
  <si>
    <t>admission@bryant.edu</t>
  </si>
  <si>
    <t>Bryn Athyn College</t>
  </si>
  <si>
    <t>admissions@brynathyn.edu</t>
  </si>
  <si>
    <t>Bryn Mawr College</t>
  </si>
  <si>
    <t>admissions@brynmawr.edu</t>
  </si>
  <si>
    <t>Bucknell University</t>
  </si>
  <si>
    <t>admissions@bucknell.edu</t>
  </si>
  <si>
    <t>Buena Vista University</t>
  </si>
  <si>
    <t>admissions@bvu.edu</t>
  </si>
  <si>
    <t>Butler University</t>
  </si>
  <si>
    <t>admission@butler.edu</t>
  </si>
  <si>
    <t>Cabarrus College Of Health Sciences</t>
  </si>
  <si>
    <t>admissions@cabarruscollege.edu</t>
  </si>
  <si>
    <t>Cabrini University</t>
  </si>
  <si>
    <t>admit@cabrini.edu</t>
  </si>
  <si>
    <t>Cairn University</t>
  </si>
  <si>
    <t>admissions@cairn.edu</t>
  </si>
  <si>
    <t>Caldwell University</t>
  </si>
  <si>
    <t>admissions@caldwell.edu</t>
  </si>
  <si>
    <t>California Baptist University</t>
  </si>
  <si>
    <t>admissions@calbaptist.edu</t>
  </si>
  <si>
    <t>California College Arts</t>
  </si>
  <si>
    <t>admissions@cca.edu</t>
  </si>
  <si>
    <t>California Institute Of The Arts</t>
  </si>
  <si>
    <t>admissions@calarts.edu</t>
  </si>
  <si>
    <t>California Institute Technology Caltech</t>
  </si>
  <si>
    <t>ugadmissions@caltech.edu</t>
  </si>
  <si>
    <t>California Lutheran University</t>
  </si>
  <si>
    <t>admissions@callutheran.edu</t>
  </si>
  <si>
    <t>California Maritime Academy</t>
  </si>
  <si>
    <t>admissions@csum.edu</t>
  </si>
  <si>
    <t>California State Polytechnic University Pomona</t>
  </si>
  <si>
    <t>admissions@cpp.edu</t>
  </si>
  <si>
    <t>California State University Bakersfield</t>
  </si>
  <si>
    <t>admissions@csub.edu</t>
  </si>
  <si>
    <t>California State University Chico</t>
  </si>
  <si>
    <t>info@csuchico.edu</t>
  </si>
  <si>
    <t>California State University Dominguez Hills</t>
  </si>
  <si>
    <t>info@csudh.edu</t>
  </si>
  <si>
    <t>California State University East Bay</t>
  </si>
  <si>
    <t>admissions@csueastbay.edu</t>
  </si>
  <si>
    <t>California State University Fresno</t>
  </si>
  <si>
    <t>admissions@csufresno.edu</t>
  </si>
  <si>
    <t>California State University Fullerton</t>
  </si>
  <si>
    <t>admissions@fullerton.edu</t>
  </si>
  <si>
    <t>California State University Long Beach</t>
  </si>
  <si>
    <t>eslb@csulb.edu</t>
  </si>
  <si>
    <t>California State University Los Angeles</t>
  </si>
  <si>
    <t>admission@calstatela.edu</t>
  </si>
  <si>
    <t>California State University Monterey Bay</t>
  </si>
  <si>
    <t>admissions@csumb.edu</t>
  </si>
  <si>
    <t>California State University Northridge</t>
  </si>
  <si>
    <t>admissions.records@csun.edu</t>
  </si>
  <si>
    <t>California State University Sacramento</t>
  </si>
  <si>
    <t>admissions@csus.edu</t>
  </si>
  <si>
    <t>California State University San Bernardino</t>
  </si>
  <si>
    <t>moreinfo@csusb.edu</t>
  </si>
  <si>
    <t>California State University San Marcos</t>
  </si>
  <si>
    <t>apply@csusm.edu</t>
  </si>
  <si>
    <t>California State University Stanislaus</t>
  </si>
  <si>
    <t>outreach_help_desk@csustan.edu</t>
  </si>
  <si>
    <t>California University Of Pennsylvania</t>
  </si>
  <si>
    <t>inquiry@calu.edu</t>
  </si>
  <si>
    <t>Calumet College Of St Joseph</t>
  </si>
  <si>
    <t>admissions@ccsj.edu</t>
  </si>
  <si>
    <t>Calvary University</t>
  </si>
  <si>
    <t>admissions@calvary.edu</t>
  </si>
  <si>
    <t>Calvin College</t>
  </si>
  <si>
    <t>admissions@calvin.edu</t>
  </si>
  <si>
    <t>Cambridge College</t>
  </si>
  <si>
    <t>admissions@cambridgecollege.edu</t>
  </si>
  <si>
    <t>Cameron University</t>
  </si>
  <si>
    <t>admissions@cameron.edu</t>
  </si>
  <si>
    <t>Campbellsville University</t>
  </si>
  <si>
    <t>admissions@campbellsville.edu</t>
  </si>
  <si>
    <t>Canisius College</t>
  </si>
  <si>
    <t>admissions@canisius.edu</t>
  </si>
  <si>
    <t>Capital University</t>
  </si>
  <si>
    <t>admission@capital.edu</t>
  </si>
  <si>
    <t>Capitol Technology University</t>
  </si>
  <si>
    <t>admissions@captechu.edu</t>
  </si>
  <si>
    <t>Cardinal Stritch University</t>
  </si>
  <si>
    <t>admissions@stritch.edu</t>
  </si>
  <si>
    <t>Caribbean University</t>
  </si>
  <si>
    <t>admisiones@caribbean.edu</t>
  </si>
  <si>
    <t>Carleton College</t>
  </si>
  <si>
    <t>admissions@carleton.edu</t>
  </si>
  <si>
    <t>Carlow University</t>
  </si>
  <si>
    <t>admissions@carlow.edu</t>
  </si>
  <si>
    <t>Carroll College</t>
  </si>
  <si>
    <t>enroll@carroll.edu</t>
  </si>
  <si>
    <t>Carroll University</t>
  </si>
  <si>
    <t>info@carrollu.edu</t>
  </si>
  <si>
    <t>Carson Newman University</t>
  </si>
  <si>
    <t>admitme@cn.edu</t>
  </si>
  <si>
    <t>Carthage College</t>
  </si>
  <si>
    <t>admissions@carthage.edu</t>
  </si>
  <si>
    <t>Case Western Reserve University</t>
  </si>
  <si>
    <t>admission@case.edu</t>
  </si>
  <si>
    <t>Castleton University</t>
  </si>
  <si>
    <t>info@castleton.edu</t>
  </si>
  <si>
    <t>Catawba College</t>
  </si>
  <si>
    <t>admission@catawba.edu</t>
  </si>
  <si>
    <t>Catholic University America</t>
  </si>
  <si>
    <t>cua-admissions@cua.edu</t>
  </si>
  <si>
    <t>Cazenovia College</t>
  </si>
  <si>
    <t>admission@cazenovia.edu</t>
  </si>
  <si>
    <t>Cedar Crest College</t>
  </si>
  <si>
    <t>admissions@cedarcrest.edu</t>
  </si>
  <si>
    <t>Cedarville University</t>
  </si>
  <si>
    <t>admiss@cedarville.edu</t>
  </si>
  <si>
    <t>Centenary College Louisiana</t>
  </si>
  <si>
    <t>admission@centenary.edu</t>
  </si>
  <si>
    <t>Centenary University</t>
  </si>
  <si>
    <t>admissions@centenaryuniversity.edu</t>
  </si>
  <si>
    <t>Central Christian College Of Kansas</t>
  </si>
  <si>
    <t>admissions@centralchristian.edu</t>
  </si>
  <si>
    <t>Central College</t>
  </si>
  <si>
    <t>admission@central.edu</t>
  </si>
  <si>
    <t>Central Connecticut State University</t>
  </si>
  <si>
    <t>admissions@ccsu.edu</t>
  </si>
  <si>
    <t>Central Methodist University</t>
  </si>
  <si>
    <t>admissions@centralmethodist.edu</t>
  </si>
  <si>
    <t>Central Michigan University</t>
  </si>
  <si>
    <t>cmuadmit@cmich.edu</t>
  </si>
  <si>
    <t>Central Penn College</t>
  </si>
  <si>
    <t>admissions@centralpenn.edu</t>
  </si>
  <si>
    <t>Central State University</t>
  </si>
  <si>
    <t>admissions@centralstate.edu</t>
  </si>
  <si>
    <t>Central Washington University</t>
  </si>
  <si>
    <t>admissions@cwu.edu</t>
  </si>
  <si>
    <t>Centre College</t>
  </si>
  <si>
    <t>admission@centre.edu</t>
  </si>
  <si>
    <t>Chadron State College</t>
  </si>
  <si>
    <t>cscadmissions@csc.edu</t>
  </si>
  <si>
    <t>Chaminade University Honolulu</t>
  </si>
  <si>
    <t>admissions@chaminade.edu</t>
  </si>
  <si>
    <t>Champlain College</t>
  </si>
  <si>
    <t>admission@champlain.edu</t>
  </si>
  <si>
    <t>Chapman University(r)</t>
  </si>
  <si>
    <t>admit@chapman.edu</t>
  </si>
  <si>
    <t>Charles R Drew University Medicine And Science</t>
  </si>
  <si>
    <t>admissionsinfo@cdrewu.edu</t>
  </si>
  <si>
    <t>Charleston Southern University</t>
  </si>
  <si>
    <t>enroll@csuniv.edu</t>
  </si>
  <si>
    <t>Charter Oak State College</t>
  </si>
  <si>
    <t>admissions@charteroak.edu</t>
  </si>
  <si>
    <t>Chatham University</t>
  </si>
  <si>
    <t>admissions@chatham.edu</t>
  </si>
  <si>
    <t>Chestnut Hill College</t>
  </si>
  <si>
    <t>admissions@chc.edu</t>
  </si>
  <si>
    <t>Cheyney University Of Pennsylvania</t>
  </si>
  <si>
    <t>admissions@cheyney.edu</t>
  </si>
  <si>
    <t>Chicago State University</t>
  </si>
  <si>
    <t>ug-admissions@csu.edu</t>
  </si>
  <si>
    <t>Chipola College</t>
  </si>
  <si>
    <t>hambrightb@chipola.edu</t>
  </si>
  <si>
    <t>Chowan University</t>
  </si>
  <si>
    <t>enroll@chowan.edu</t>
  </si>
  <si>
    <t>Christendom College</t>
  </si>
  <si>
    <t>admissions@christendom.edu</t>
  </si>
  <si>
    <t>Christian Brothers University</t>
  </si>
  <si>
    <t>admissions@cbu.edu</t>
  </si>
  <si>
    <t>Christopher Newport University</t>
  </si>
  <si>
    <t>admit@cnu.edu</t>
  </si>
  <si>
    <t>Cincinnati Christian University</t>
  </si>
  <si>
    <t>ccuadmissions@ccuniversity.edu</t>
  </si>
  <si>
    <t>Claflin University</t>
  </si>
  <si>
    <t>admissions@claflin.edu</t>
  </si>
  <si>
    <t>Claremont Mckenna College</t>
  </si>
  <si>
    <t>admission@cmc.edu</t>
  </si>
  <si>
    <t>Clarion University Of Pennsylvania</t>
  </si>
  <si>
    <t>admissions@clarion.edu</t>
  </si>
  <si>
    <t>Clark Atlanta University</t>
  </si>
  <si>
    <t>admissions@cau.edu</t>
  </si>
  <si>
    <t>Clark University</t>
  </si>
  <si>
    <t>admissions@clarku.edu</t>
  </si>
  <si>
    <t>Clarke University</t>
  </si>
  <si>
    <t>admissions@clarke.edu</t>
  </si>
  <si>
    <t>Clarks Summit University</t>
  </si>
  <si>
    <t>admissions@clarkssummitu.edu</t>
  </si>
  <si>
    <t>Clarkson College</t>
  </si>
  <si>
    <t>admissions@clarksoncollege.edu</t>
  </si>
  <si>
    <t>Clarkson University</t>
  </si>
  <si>
    <t>admission@clarkson.edu</t>
  </si>
  <si>
    <t>Clayton State University</t>
  </si>
  <si>
    <t>ccsu-info@clayton.edu</t>
  </si>
  <si>
    <t>Clear Creek Baptist Bible College</t>
  </si>
  <si>
    <t>admissions@ccbbc.edu</t>
  </si>
  <si>
    <t>Cleary University</t>
  </si>
  <si>
    <t>admissions@cleary.edu</t>
  </si>
  <si>
    <t>Clemson University</t>
  </si>
  <si>
    <t>cuadmissions@clemson.edu</t>
  </si>
  <si>
    <t>Cleveland Institute Of Music</t>
  </si>
  <si>
    <t>admission@cim.edu</t>
  </si>
  <si>
    <t>Cleveland State University</t>
  </si>
  <si>
    <t>admissions@csuohio.edu</t>
  </si>
  <si>
    <t>Coastal Carolina University</t>
  </si>
  <si>
    <t>admissions@coastal.edu</t>
  </si>
  <si>
    <t>Coe College</t>
  </si>
  <si>
    <t>admission@coe.edu</t>
  </si>
  <si>
    <t>Cogswell Polytechnical College</t>
  </si>
  <si>
    <t>info@cogswell.edu</t>
  </si>
  <si>
    <t>Coker College</t>
  </si>
  <si>
    <t>admissions@coker.edu</t>
  </si>
  <si>
    <t>Colby College</t>
  </si>
  <si>
    <t>admissions@colby.edu</t>
  </si>
  <si>
    <t>Colby Sawyer College</t>
  </si>
  <si>
    <t>admissions@colby-sawyer.edu</t>
  </si>
  <si>
    <t>Colgate University</t>
  </si>
  <si>
    <t>admission@colgate.edu</t>
  </si>
  <si>
    <t>College Of Charleston</t>
  </si>
  <si>
    <t>admissions@cofc.edu</t>
  </si>
  <si>
    <t>College of Idaho</t>
  </si>
  <si>
    <t>admission@collegeofidaho.edu</t>
  </si>
  <si>
    <t>College of Mount Saint Vincent</t>
  </si>
  <si>
    <t>admissions@mountsaintvincent.edu</t>
  </si>
  <si>
    <t>College of New Jersey</t>
  </si>
  <si>
    <t>tcnjinfo@tcnj.edu</t>
  </si>
  <si>
    <t>College of New Rochelle</t>
  </si>
  <si>
    <t>admission@cnr.edu</t>
  </si>
  <si>
    <t>College Of Saint Benedict</t>
  </si>
  <si>
    <t>admissions@csbsju.edu</t>
  </si>
  <si>
    <t>College of Saint Elizabeth</t>
  </si>
  <si>
    <t>apply@cse.edu</t>
  </si>
  <si>
    <t>College of Saint Rose</t>
  </si>
  <si>
    <t>admit@strose.edu</t>
  </si>
  <si>
    <t>College Of St Mary</t>
  </si>
  <si>
    <t>enroll@csm.edu</t>
  </si>
  <si>
    <t>College Of Staten Island Cuny</t>
  </si>
  <si>
    <t>admissions@csi.cuny.edu</t>
  </si>
  <si>
    <t>College of the Atlantic Atlantic</t>
  </si>
  <si>
    <t>inquiry@coa.edu</t>
  </si>
  <si>
    <t>College of the Holy Cross</t>
  </si>
  <si>
    <t>admissions@holycross.edu</t>
  </si>
  <si>
    <t>College Of The Ozarks</t>
  </si>
  <si>
    <t>admissions@cofo.edu</t>
  </si>
  <si>
    <t>College of William &amp; Mary</t>
  </si>
  <si>
    <t>admission@wm.edu</t>
  </si>
  <si>
    <t>College St Joseph</t>
  </si>
  <si>
    <t>admissions@csj.edu</t>
  </si>
  <si>
    <t>College St Scholastica</t>
  </si>
  <si>
    <t>admissions@css.edu</t>
  </si>
  <si>
    <t>College Wooster</t>
  </si>
  <si>
    <t>admissions@wooster.edu</t>
  </si>
  <si>
    <t>Colorado Christian University</t>
  </si>
  <si>
    <t>ccuadmissions@ccu.edu</t>
  </si>
  <si>
    <t>Colorado College</t>
  </si>
  <si>
    <t>admission@coloradocollege.edu</t>
  </si>
  <si>
    <t>Colorado Mesa University</t>
  </si>
  <si>
    <t>admissions@coloradomesa.edu</t>
  </si>
  <si>
    <t>Colorado School Of Mines</t>
  </si>
  <si>
    <t>admit@mines.edu</t>
  </si>
  <si>
    <t>Colorado State University</t>
  </si>
  <si>
    <t>admissions@colostate.edu</t>
  </si>
  <si>
    <t>Colorado State University Pueblo</t>
  </si>
  <si>
    <t>info@csupueblo.edu</t>
  </si>
  <si>
    <t>Columbia College</t>
  </si>
  <si>
    <t>admissions@ccis.edu</t>
  </si>
  <si>
    <t>admissions@columbiasc.edu</t>
  </si>
  <si>
    <t>Columbia College Chicago</t>
  </si>
  <si>
    <t>admissions@colum.edu</t>
  </si>
  <si>
    <t>Columbia College Hollywood</t>
  </si>
  <si>
    <t>admissions@columbiacollege.edu</t>
  </si>
  <si>
    <t>Columbia International University</t>
  </si>
  <si>
    <t>yesciu@ciu.edu</t>
  </si>
  <si>
    <t>Columbus College Of Art And Design</t>
  </si>
  <si>
    <t>admissions@ccad.edu</t>
  </si>
  <si>
    <t>Columbus State University</t>
  </si>
  <si>
    <t>admissions@columbusstate.edu</t>
  </si>
  <si>
    <t>Concord University</t>
  </si>
  <si>
    <t>admissions@concord.edu</t>
  </si>
  <si>
    <t>Concordia College</t>
  </si>
  <si>
    <t>admission@concordia-ny.edu</t>
  </si>
  <si>
    <t>Concordia College Moorhead</t>
  </si>
  <si>
    <t>admissions@cord.edu</t>
  </si>
  <si>
    <t>Concordia University Chicago</t>
  </si>
  <si>
    <t>Admission@CUChicago.edu</t>
  </si>
  <si>
    <t>Concordia University Irvine</t>
  </si>
  <si>
    <t>admissions@cui.edu</t>
  </si>
  <si>
    <t>Concordia University Nebraska</t>
  </si>
  <si>
    <t>admiss@cune.edu</t>
  </si>
  <si>
    <t>Concordia University Portland Or</t>
  </si>
  <si>
    <t>admission@cu-portland.edu</t>
  </si>
  <si>
    <t>Concordia University St Paul</t>
  </si>
  <si>
    <t>admissions@csp.edu</t>
  </si>
  <si>
    <t>Concordia University Texas</t>
  </si>
  <si>
    <t>admissions@concordia.edu</t>
  </si>
  <si>
    <t>Concordia University Wisconsin</t>
  </si>
  <si>
    <t>admissions@cuw.edu</t>
  </si>
  <si>
    <t>Connecticut College</t>
  </si>
  <si>
    <t>admission@conncoll.edu</t>
  </si>
  <si>
    <t>Conservatory Of Music Of Puerto Rico</t>
  </si>
  <si>
    <t>admisiones@cmpr.edu</t>
  </si>
  <si>
    <t>Converse College</t>
  </si>
  <si>
    <t>admissions@converse.edu</t>
  </si>
  <si>
    <t>Cooper Union Advancement Science And Art</t>
  </si>
  <si>
    <t>admissions@cooper.edu</t>
  </si>
  <si>
    <t>Coppin State University</t>
  </si>
  <si>
    <t>admissions@coppin.edu</t>
  </si>
  <si>
    <t>Corban University</t>
  </si>
  <si>
    <t>admissions@corban.edu</t>
  </si>
  <si>
    <t>Cornell College</t>
  </si>
  <si>
    <t>admission@cornellcollege.edu</t>
  </si>
  <si>
    <t>Cornerstone University</t>
  </si>
  <si>
    <t>admissions@cornerstone.edu</t>
  </si>
  <si>
    <t>Cornish College Of The Arts</t>
  </si>
  <si>
    <t>admission@cornish.edu</t>
  </si>
  <si>
    <t>Covenant College</t>
  </si>
  <si>
    <t>admissions@covenant.edu</t>
  </si>
  <si>
    <t>Creighton University</t>
  </si>
  <si>
    <t>admissions@creighton.edu</t>
  </si>
  <si>
    <t>Criswell College</t>
  </si>
  <si>
    <t>enrollment@criswell.edu</t>
  </si>
  <si>
    <t>Crown College</t>
  </si>
  <si>
    <t>admissions@crown.edu</t>
  </si>
  <si>
    <t>Culinary Institute America Ny</t>
  </si>
  <si>
    <t>admissions@culinary.edu</t>
  </si>
  <si>
    <t>Culver Stockton College</t>
  </si>
  <si>
    <t>admission@culver.edu</t>
  </si>
  <si>
    <t>Cumberland University</t>
  </si>
  <si>
    <t>admissions@cumberland.edu</t>
  </si>
  <si>
    <t>Curry College</t>
  </si>
  <si>
    <t>adm@curry.edu</t>
  </si>
  <si>
    <t>Daemen College</t>
  </si>
  <si>
    <t>admissions@daemen.edu</t>
  </si>
  <si>
    <t>Dakota State University</t>
  </si>
  <si>
    <t>admissions@dsu.edu</t>
  </si>
  <si>
    <t>Dakota Wesleyan University</t>
  </si>
  <si>
    <t>admissions@dwu.edu</t>
  </si>
  <si>
    <t>Dallas Baptist University</t>
  </si>
  <si>
    <t>admiss@dbu.edu</t>
  </si>
  <si>
    <t>Dallas Christian College</t>
  </si>
  <si>
    <t>admissions@dallas.edu</t>
  </si>
  <si>
    <t>Dalton State College</t>
  </si>
  <si>
    <t>admissions@daltonstate.edu</t>
  </si>
  <si>
    <t>Dartmouth College</t>
  </si>
  <si>
    <t>apply@dartmouth.edu</t>
  </si>
  <si>
    <t>Davenport University</t>
  </si>
  <si>
    <t>info@davenport.edu</t>
  </si>
  <si>
    <t>Davidson College</t>
  </si>
  <si>
    <t>admission@davidson.edu</t>
  </si>
  <si>
    <t>Davis Elkins College</t>
  </si>
  <si>
    <t>summersm@dewv.edu</t>
  </si>
  <si>
    <t>Dean College</t>
  </si>
  <si>
    <t>admissions@dean.edu</t>
  </si>
  <si>
    <t>Defiance College</t>
  </si>
  <si>
    <t>admissions@defiance.edu</t>
  </si>
  <si>
    <t>Delaware State University</t>
  </si>
  <si>
    <t>admissions@desu.edu</t>
  </si>
  <si>
    <t>Delaware Valley University</t>
  </si>
  <si>
    <t>admitme@delval.edu</t>
  </si>
  <si>
    <t>Delta State University</t>
  </si>
  <si>
    <t>admissions@deltastate.edu</t>
  </si>
  <si>
    <t>Denison University</t>
  </si>
  <si>
    <t>admissions@denison.edu</t>
  </si>
  <si>
    <t>Depaul University</t>
  </si>
  <si>
    <t>admission@depaul.edu</t>
  </si>
  <si>
    <t>Depauw University</t>
  </si>
  <si>
    <t>admission@depauw.edu</t>
  </si>
  <si>
    <t>Desales University</t>
  </si>
  <si>
    <t>admiss@desales.edu</t>
  </si>
  <si>
    <t>Dickinson College</t>
  </si>
  <si>
    <t>admissions@dickinson.edu</t>
  </si>
  <si>
    <t>Dickinson State University</t>
  </si>
  <si>
    <t>dsu.hawks@dickinsonstate.edu</t>
  </si>
  <si>
    <t>Digipen Institute Of Technology</t>
  </si>
  <si>
    <t>admissions@digipen.edu</t>
  </si>
  <si>
    <t>Dillard University</t>
  </si>
  <si>
    <t>admissions@dillard.edu</t>
  </si>
  <si>
    <t>Dixie State University</t>
  </si>
  <si>
    <t>admissions@dixie.edu</t>
  </si>
  <si>
    <t>Doane University</t>
  </si>
  <si>
    <t>admissions@doane.edu</t>
  </si>
  <si>
    <t>Dominican College</t>
  </si>
  <si>
    <t>admissions@dc.edu</t>
  </si>
  <si>
    <t>Dominican University</t>
  </si>
  <si>
    <t>domadmis@dom.edu</t>
  </si>
  <si>
    <t>Dominican University California</t>
  </si>
  <si>
    <t>enroll@dominican.edu</t>
  </si>
  <si>
    <t>Dordt College</t>
  </si>
  <si>
    <t>admissions@dordt.edu</t>
  </si>
  <si>
    <t>Drake University</t>
  </si>
  <si>
    <t>admission@drake.edu</t>
  </si>
  <si>
    <t>Drew University</t>
  </si>
  <si>
    <t>cadm@drew.edu</t>
  </si>
  <si>
    <t>Drexel University</t>
  </si>
  <si>
    <t>enroll@drexel.edu</t>
  </si>
  <si>
    <t>Drury University</t>
  </si>
  <si>
    <t>druryad@drury.edu</t>
  </si>
  <si>
    <t>Duke University</t>
  </si>
  <si>
    <t>undergrad-admissions@duke.edu</t>
  </si>
  <si>
    <t>Duquesne University</t>
  </si>
  <si>
    <t>admissions@duq.edu</t>
  </si>
  <si>
    <t>Dyouville College</t>
  </si>
  <si>
    <t>admissons@dyc.edu</t>
  </si>
  <si>
    <t>Earlham College</t>
  </si>
  <si>
    <t>admission@earlham.edu</t>
  </si>
  <si>
    <t>East Carolina University</t>
  </si>
  <si>
    <t>admis@ecu.edu</t>
  </si>
  <si>
    <t>East Central University</t>
  </si>
  <si>
    <t>admissions@ecok.edu</t>
  </si>
  <si>
    <t>East Stroudsburg University Of Pennsylvania</t>
  </si>
  <si>
    <t>undergrads@esu.edu</t>
  </si>
  <si>
    <t>East Tennessee State University</t>
  </si>
  <si>
    <t>go2etsu@etsu.edu</t>
  </si>
  <si>
    <t>East Texas Baptist University</t>
  </si>
  <si>
    <t>admissions@etbu.edu</t>
  </si>
  <si>
    <t>East West University</t>
  </si>
  <si>
    <t>admissions@eastwest.edu</t>
  </si>
  <si>
    <t>Eastern Connecticut State University</t>
  </si>
  <si>
    <t>admissions@easternct.edu</t>
  </si>
  <si>
    <t>Eastern Illinois University</t>
  </si>
  <si>
    <t>admissions@eiu.edu</t>
  </si>
  <si>
    <t>Eastern Kentucky University</t>
  </si>
  <si>
    <t>admissions@eku.edu</t>
  </si>
  <si>
    <t>Eastern Mennonite University</t>
  </si>
  <si>
    <t>admiss@emu.edu</t>
  </si>
  <si>
    <t>Eastern Michigan University</t>
  </si>
  <si>
    <t>admissions@emich.edu</t>
  </si>
  <si>
    <t>Eastern Nazarene College</t>
  </si>
  <si>
    <t>admissions@enc.edu</t>
  </si>
  <si>
    <t>Eastern New Mexico University</t>
  </si>
  <si>
    <t>enrollment.services@enmu.edu</t>
  </si>
  <si>
    <t>Eastern Oregon University</t>
  </si>
  <si>
    <t>admissions@eou.edu</t>
  </si>
  <si>
    <t>Eastern University</t>
  </si>
  <si>
    <t>ugadm@eastern.edu</t>
  </si>
  <si>
    <t>Eastern Washington University</t>
  </si>
  <si>
    <t>admissions@ewu.edu</t>
  </si>
  <si>
    <t>Eckerd College</t>
  </si>
  <si>
    <t>admissions@eckerd.edu</t>
  </si>
  <si>
    <t>Edgewood College</t>
  </si>
  <si>
    <t>admissions@edgewood.edu</t>
  </si>
  <si>
    <t>Edinboro University Pennsylvania</t>
  </si>
  <si>
    <t>admissions@edinboro.edu</t>
  </si>
  <si>
    <t>Edward Waters College</t>
  </si>
  <si>
    <t>admissions@ewc.edu</t>
  </si>
  <si>
    <t>Elizabeth City State University</t>
  </si>
  <si>
    <t>admissions@ecsu.edu</t>
  </si>
  <si>
    <t>Elizabethtown College</t>
  </si>
  <si>
    <t>admissions@etown.edu</t>
  </si>
  <si>
    <t>Elmhurst College</t>
  </si>
  <si>
    <t>admit@elmhurst.edu</t>
  </si>
  <si>
    <t>Elmira College</t>
  </si>
  <si>
    <t>admissions@elmira.edu</t>
  </si>
  <si>
    <t>Elms College</t>
  </si>
  <si>
    <t>admissions@elms.edu</t>
  </si>
  <si>
    <t>Elon University</t>
  </si>
  <si>
    <t>admissions@elon.edu</t>
  </si>
  <si>
    <t>Embry Riddle Aeronautical University Daytona Beach</t>
  </si>
  <si>
    <t>dbadmit@erau.edu</t>
  </si>
  <si>
    <t>Emerson College</t>
  </si>
  <si>
    <t>admission@emerson.edu</t>
  </si>
  <si>
    <t>Emmanuel College</t>
  </si>
  <si>
    <t>enroll@emmanuel.edu</t>
  </si>
  <si>
    <t>Emmanuel College Ga</t>
  </si>
  <si>
    <t>admissions@ec.edu</t>
  </si>
  <si>
    <t>Emmaus Bible College</t>
  </si>
  <si>
    <t>admissions@emmaus.edu</t>
  </si>
  <si>
    <t>Emory Henry College</t>
  </si>
  <si>
    <t>ehadmiss@ehc.edu</t>
  </si>
  <si>
    <t>Emory University</t>
  </si>
  <si>
    <t>admission@emory.edu</t>
  </si>
  <si>
    <t>Emporia State University</t>
  </si>
  <si>
    <t>go2esu@emporia.edu</t>
  </si>
  <si>
    <t>Endicott College</t>
  </si>
  <si>
    <t>admission@endicott.edu</t>
  </si>
  <si>
    <t>Erskine College</t>
  </si>
  <si>
    <t>admissions@erskine.edu</t>
  </si>
  <si>
    <t>Eugene Lang College The New School For Liberal Arts</t>
  </si>
  <si>
    <t>lang@newschool.edu</t>
  </si>
  <si>
    <t>Eureka College</t>
  </si>
  <si>
    <t>admissions@eureka.edu</t>
  </si>
  <si>
    <t>Evangel University</t>
  </si>
  <si>
    <t>admissions@evangel.edu</t>
  </si>
  <si>
    <t>Evergreen State College</t>
  </si>
  <si>
    <t>admissions@evergreen.edu</t>
  </si>
  <si>
    <t>Fairfield University</t>
  </si>
  <si>
    <t>admis@fairfield.edu</t>
  </si>
  <si>
    <t>Fairleigh Dickinson University</t>
  </si>
  <si>
    <t>admissions@fdu.edu</t>
  </si>
  <si>
    <t>Fairmont State University</t>
  </si>
  <si>
    <t>admit@fairmontstate.edu</t>
  </si>
  <si>
    <t>Faith Baptist Bible College And Theological Seminary</t>
  </si>
  <si>
    <t>admissions@faith.edu</t>
  </si>
  <si>
    <t>Fashion Institute Of Technology(r)</t>
  </si>
  <si>
    <t>fitinfo@fitnyc.edu</t>
  </si>
  <si>
    <t>Faulkner University</t>
  </si>
  <si>
    <t>admissions@faulkner.edu</t>
  </si>
  <si>
    <t>Fayetteville State University</t>
  </si>
  <si>
    <t>admissions@uncfsu.edu</t>
  </si>
  <si>
    <t>Felician University</t>
  </si>
  <si>
    <t>admissions@felician.edu</t>
  </si>
  <si>
    <t>Ferris State University</t>
  </si>
  <si>
    <t>admissions@ferris.edu</t>
  </si>
  <si>
    <t>Ferrum College</t>
  </si>
  <si>
    <t>admissions@ferrum.edu</t>
  </si>
  <si>
    <t>Fisher College</t>
  </si>
  <si>
    <t>admissions@fisher.edu</t>
  </si>
  <si>
    <t>Fisk University</t>
  </si>
  <si>
    <t>admit@fisk.edu</t>
  </si>
  <si>
    <t>Fitchburg State University</t>
  </si>
  <si>
    <t>admissions@fitchburgstate.edu</t>
  </si>
  <si>
    <t>Five Towns College</t>
  </si>
  <si>
    <t>admissions@ftc.edu</t>
  </si>
  <si>
    <t>Flagler College</t>
  </si>
  <si>
    <t>admissions@flagler.edu</t>
  </si>
  <si>
    <t>Florida Agricultural Mechanical University</t>
  </si>
  <si>
    <t>ugrdadmissions@famu.edu</t>
  </si>
  <si>
    <t>Florida Atlantic University</t>
  </si>
  <si>
    <t>admissions@fau.edu</t>
  </si>
  <si>
    <t>Florida College</t>
  </si>
  <si>
    <t>admissions@floridacollege.edu</t>
  </si>
  <si>
    <t>Florida Gulf Coast University</t>
  </si>
  <si>
    <t>admissions@fgcu.edu</t>
  </si>
  <si>
    <t>Florida Institute Technology</t>
  </si>
  <si>
    <t>admission@fit.edu</t>
  </si>
  <si>
    <t>Florida International University</t>
  </si>
  <si>
    <t>admiss@fiu.edu</t>
  </si>
  <si>
    <t>Florida Memorial University</t>
  </si>
  <si>
    <t>admit@fmuniv.edu</t>
  </si>
  <si>
    <t>Florida National University</t>
  </si>
  <si>
    <t>admissions@fnu.edu</t>
  </si>
  <si>
    <t>Florida Polytechnic University</t>
  </si>
  <si>
    <t>admissions@flpoly.org</t>
  </si>
  <si>
    <t>Florida Southern College</t>
  </si>
  <si>
    <t>fscadm@flsouthern.edu</t>
  </si>
  <si>
    <t>Florida State University</t>
  </si>
  <si>
    <t>admissions@fsu.edu</t>
  </si>
  <si>
    <t>Fontbonne University</t>
  </si>
  <si>
    <t>fbyou@fontbonne.edu</t>
  </si>
  <si>
    <t>Fordham University</t>
  </si>
  <si>
    <t>enroll@fordham.edu</t>
  </si>
  <si>
    <t>Fort Hays State University</t>
  </si>
  <si>
    <t>tigers@fhsu.edu</t>
  </si>
  <si>
    <t>Fort Lewis College</t>
  </si>
  <si>
    <t>admission@fortlewis.edu</t>
  </si>
  <si>
    <t>Fort Valley State University</t>
  </si>
  <si>
    <t>admissions@fvsu.edu</t>
  </si>
  <si>
    <t>Framingham State University</t>
  </si>
  <si>
    <t>admissions@framingham.edu</t>
  </si>
  <si>
    <t>Francis Marion University</t>
  </si>
  <si>
    <t>admissions@fmarion.edu</t>
  </si>
  <si>
    <t>Franciscan Missionaries Of Our Lady University</t>
  </si>
  <si>
    <t>ololcinfo@ololcollege.edu</t>
  </si>
  <si>
    <t>Franciscan University Of Steubenville</t>
  </si>
  <si>
    <t>admissions@franciscan.edu</t>
  </si>
  <si>
    <t>Franklin College</t>
  </si>
  <si>
    <t>admissions@franklincollege.edu</t>
  </si>
  <si>
    <t>Franklin Marshall College</t>
  </si>
  <si>
    <t>admission@fandm.edu</t>
  </si>
  <si>
    <t>Franklin Pierce University</t>
  </si>
  <si>
    <t>admissions@franklinpierce.edu</t>
  </si>
  <si>
    <t>Franklin University Switzerland</t>
  </si>
  <si>
    <t>info@fus.edu</t>
  </si>
  <si>
    <t>Franklin W Olin College Engineering</t>
  </si>
  <si>
    <t>apply@olin.edu</t>
  </si>
  <si>
    <t>Freed Hardeman University</t>
  </si>
  <si>
    <t>admissions@fhu.edu</t>
  </si>
  <si>
    <t>Fresno Pacific University</t>
  </si>
  <si>
    <t>admissions@fresno.edu</t>
  </si>
  <si>
    <t>Friends University</t>
  </si>
  <si>
    <t>admission@friends.edu</t>
  </si>
  <si>
    <t>Frostburg State University</t>
  </si>
  <si>
    <t>fsuadmissions@frostburg.edu</t>
  </si>
  <si>
    <t>Furman University</t>
  </si>
  <si>
    <t>admission@furman.edu</t>
  </si>
  <si>
    <t>Gallaudet University</t>
  </si>
  <si>
    <t>admissions.office@gallaudet.edu</t>
  </si>
  <si>
    <t>Gannon University</t>
  </si>
  <si>
    <t>admissions@gannon.edu</t>
  </si>
  <si>
    <t>Gardner Webb University</t>
  </si>
  <si>
    <t>admissions@gardner-webb.edu</t>
  </si>
  <si>
    <t>George Fox University</t>
  </si>
  <si>
    <t>admissions@georgefox.edu</t>
  </si>
  <si>
    <t>George Mason University</t>
  </si>
  <si>
    <t>admissions@gmu.edu</t>
  </si>
  <si>
    <t>George Washington University</t>
  </si>
  <si>
    <t>gwadm@gwu.edu</t>
  </si>
  <si>
    <t>Georgetown College</t>
  </si>
  <si>
    <t>admissions@georgetowncollege.edu</t>
  </si>
  <si>
    <t>Georgetown University</t>
  </si>
  <si>
    <t>guadmiss@georgetown.edu</t>
  </si>
  <si>
    <t>Georgia College</t>
  </si>
  <si>
    <t>admissions@gcsu.edu</t>
  </si>
  <si>
    <t>Georgia Gwinnett College</t>
  </si>
  <si>
    <t>ggcadmissions@ggc.edu</t>
  </si>
  <si>
    <t>Georgia Southern University Armstrong And Liberty Campuses</t>
  </si>
  <si>
    <t>admissions@georgiasouthern.edu</t>
  </si>
  <si>
    <t>Georgia Southwestern State University</t>
  </si>
  <si>
    <t>admissions@gsw.edu</t>
  </si>
  <si>
    <t>Georgia State University</t>
  </si>
  <si>
    <t>admissions@gsu.edu</t>
  </si>
  <si>
    <t>Georgian Court University</t>
  </si>
  <si>
    <t>admissions@georgian.edu</t>
  </si>
  <si>
    <t>Gettysburg College</t>
  </si>
  <si>
    <t>admiss@gettysburg.edu</t>
  </si>
  <si>
    <t>Glenville State College</t>
  </si>
  <si>
    <t>admissions@glenville.edu</t>
  </si>
  <si>
    <t>Goddard College</t>
  </si>
  <si>
    <t>admissions@goddard.edu</t>
  </si>
  <si>
    <t>Goldey Beacom College</t>
  </si>
  <si>
    <t>gbc@gbc.edu</t>
  </si>
  <si>
    <t>Gonzaga University</t>
  </si>
  <si>
    <t>admissions@gonzaga.edu</t>
  </si>
  <si>
    <t>Gordon College</t>
  </si>
  <si>
    <t>admissions@gordon.edu</t>
  </si>
  <si>
    <t>Gordon State College</t>
  </si>
  <si>
    <t>gordon@gordonstate.edu</t>
  </si>
  <si>
    <t>Goshen College</t>
  </si>
  <si>
    <t>admission@goshen.edu</t>
  </si>
  <si>
    <t>Goucher College</t>
  </si>
  <si>
    <t>admissions@goucher.edu</t>
  </si>
  <si>
    <t>Governors State University</t>
  </si>
  <si>
    <t>admissions@govst.edu</t>
  </si>
  <si>
    <t>Grace Bible College</t>
  </si>
  <si>
    <t>graceadmissions@gbcol.edu</t>
  </si>
  <si>
    <t>Grace College Seminary</t>
  </si>
  <si>
    <t>admissions@grace.edu</t>
  </si>
  <si>
    <t>Graceland University</t>
  </si>
  <si>
    <t>admissions@graceland.edu</t>
  </si>
  <si>
    <t>Grambling State University</t>
  </si>
  <si>
    <t>admissions@gram.edu</t>
  </si>
  <si>
    <t>Grand Canyon University</t>
  </si>
  <si>
    <t>facouns@gcu.edu</t>
  </si>
  <si>
    <t>Grand Valley State University</t>
  </si>
  <si>
    <t>go2gvsu@gvsu.edu</t>
  </si>
  <si>
    <t>Grand View University</t>
  </si>
  <si>
    <t>admissions@grandview.edu</t>
  </si>
  <si>
    <t>Granite State College</t>
  </si>
  <si>
    <t>ask.granite@granite.edu</t>
  </si>
  <si>
    <t>Great Basin College</t>
  </si>
  <si>
    <t>admissions@gbcnv.edu</t>
  </si>
  <si>
    <t>Green Mountain College</t>
  </si>
  <si>
    <t>admissions@greenmtn.edu</t>
  </si>
  <si>
    <t>Greensboro College</t>
  </si>
  <si>
    <t>admissions@greensboro.edu</t>
  </si>
  <si>
    <t>Greenville University</t>
  </si>
  <si>
    <t>admissions@greenville.edu</t>
  </si>
  <si>
    <t>Grinnell College</t>
  </si>
  <si>
    <t>admission@grinnell.edu</t>
  </si>
  <si>
    <t>Grove City College</t>
  </si>
  <si>
    <t>admissions@gcc.edu</t>
  </si>
  <si>
    <t>Guilford College</t>
  </si>
  <si>
    <t>admission@guilford.edu</t>
  </si>
  <si>
    <t>Gustavus Adolphus College</t>
  </si>
  <si>
    <t>admission@gustavus.edu</t>
  </si>
  <si>
    <t>Gwynedd Mercy University</t>
  </si>
  <si>
    <t>admissions@gmercyu.edu</t>
  </si>
  <si>
    <t>Hamilton College</t>
  </si>
  <si>
    <t>admission@hamilton.edu</t>
  </si>
  <si>
    <t>Hamline University Mn</t>
  </si>
  <si>
    <t>admission@hamline.edu</t>
  </si>
  <si>
    <t>Hampden Sydney College</t>
  </si>
  <si>
    <t>admissions@hsc.edu</t>
  </si>
  <si>
    <t>Hampshire College</t>
  </si>
  <si>
    <t>admissions@hampshire.edu</t>
  </si>
  <si>
    <t>Hampton University</t>
  </si>
  <si>
    <t>admit@hamptonu.edu</t>
  </si>
  <si>
    <t>Hannibal Lagrange University</t>
  </si>
  <si>
    <t>admissions@hlg.edu</t>
  </si>
  <si>
    <t>Hanover College</t>
  </si>
  <si>
    <t>admission@hanover.edu</t>
  </si>
  <si>
    <t>Hardin Simmons University</t>
  </si>
  <si>
    <t>enroll@hsutx.edu</t>
  </si>
  <si>
    <t>Harding University</t>
  </si>
  <si>
    <t>admissions@harding.edu</t>
  </si>
  <si>
    <t>Harris Stowe State University</t>
  </si>
  <si>
    <t>admissions@hssu.edu</t>
  </si>
  <si>
    <t>Harrisburg University Science And Technology</t>
  </si>
  <si>
    <t>UndergraduateAdmissions@HarrisburgU.edu</t>
  </si>
  <si>
    <t>Hartwick College</t>
  </si>
  <si>
    <t>admissions@hartwick.edu</t>
  </si>
  <si>
    <t>Harvard College</t>
  </si>
  <si>
    <t>college@fas.harvard.edu</t>
  </si>
  <si>
    <t>Harvey Mudd College</t>
  </si>
  <si>
    <t>admission@hmc.edu</t>
  </si>
  <si>
    <t>Hastings College</t>
  </si>
  <si>
    <t>hcadmissions@hastings.edu</t>
  </si>
  <si>
    <t>Haverford College</t>
  </si>
  <si>
    <t>admission@haverford.edu</t>
  </si>
  <si>
    <t>Hawaii Pacific University</t>
  </si>
  <si>
    <t>admissions@hpu.edu</t>
  </si>
  <si>
    <t>Heidelberg University</t>
  </si>
  <si>
    <t>admission@heidelberg.edu</t>
  </si>
  <si>
    <t>Hellenic College</t>
  </si>
  <si>
    <t>admissions@hchc.edu</t>
  </si>
  <si>
    <t>Henderson State University</t>
  </si>
  <si>
    <t>admissions@hsu.edu</t>
  </si>
  <si>
    <t>Hendrix College</t>
  </si>
  <si>
    <t>adm@hendrix.edu</t>
  </si>
  <si>
    <t>High Point University</t>
  </si>
  <si>
    <t>admiss@highpoint.edu</t>
  </si>
  <si>
    <t>Hilbert College</t>
  </si>
  <si>
    <t>admissions@hilbert.edu</t>
  </si>
  <si>
    <t>Hillsdale College</t>
  </si>
  <si>
    <t>admissions@hillsdale.edu</t>
  </si>
  <si>
    <t>Hiram College</t>
  </si>
  <si>
    <t>admission@hiram.edu</t>
  </si>
  <si>
    <t>Hobart And William Smith Colleges</t>
  </si>
  <si>
    <t>admissions@hws.edu</t>
  </si>
  <si>
    <t>Hodges University</t>
  </si>
  <si>
    <t>admit@hodges.edu</t>
  </si>
  <si>
    <t>Hofstra University</t>
  </si>
  <si>
    <t>admission@hofstra.edu</t>
  </si>
  <si>
    <t>Hollins University</t>
  </si>
  <si>
    <t>huadm@hollins.edu</t>
  </si>
  <si>
    <t>Holy Cross College</t>
  </si>
  <si>
    <t>admissions@hcc-nd.edu</t>
  </si>
  <si>
    <t>Holy Family University</t>
  </si>
  <si>
    <t>admissions@holyfamily.edu</t>
  </si>
  <si>
    <t>Holy Names University</t>
  </si>
  <si>
    <t>admissions@hnu.edu</t>
  </si>
  <si>
    <t>Hood College</t>
  </si>
  <si>
    <t>admissions@hood.edu</t>
  </si>
  <si>
    <t>Hope College</t>
  </si>
  <si>
    <t>admissions@hope.edu</t>
  </si>
  <si>
    <t>Houghton College</t>
  </si>
  <si>
    <t>admission@houghton.edu</t>
  </si>
  <si>
    <t>Houston Baptist University</t>
  </si>
  <si>
    <t>admissions@hbu.edu</t>
  </si>
  <si>
    <t>Howard Payne University</t>
  </si>
  <si>
    <t>enroll@hputx.edu</t>
  </si>
  <si>
    <t>Howard University</t>
  </si>
  <si>
    <t>admission@howard.edu</t>
  </si>
  <si>
    <t>Hult International Business School</t>
  </si>
  <si>
    <t>undergraduate.info@hult.edu</t>
  </si>
  <si>
    <t>Humboldt State University</t>
  </si>
  <si>
    <t>hsuinfo@humboldt.edu</t>
  </si>
  <si>
    <t>Huntingdon College</t>
  </si>
  <si>
    <t>admiss@hawks.huntingdon.edu</t>
  </si>
  <si>
    <t>Huntingdon College Of Health Sciences</t>
  </si>
  <si>
    <t>admissions@hchs.edu</t>
  </si>
  <si>
    <t>Huntington University</t>
  </si>
  <si>
    <t>admissions@huntington.edu</t>
  </si>
  <si>
    <t>Husson University</t>
  </si>
  <si>
    <t>admit@husson.edu</t>
  </si>
  <si>
    <t>Huston Tillotson University</t>
  </si>
  <si>
    <t>admission@htu.edu</t>
  </si>
  <si>
    <t>Idaho State University</t>
  </si>
  <si>
    <t>admiss@isu.edu</t>
  </si>
  <si>
    <t>Ie University</t>
  </si>
  <si>
    <t>university@ie.edu</t>
  </si>
  <si>
    <t>Illinois College</t>
  </si>
  <si>
    <t>admissions@mail.ic.edu</t>
  </si>
  <si>
    <t>Illinois Institute Technology</t>
  </si>
  <si>
    <t>admission@iit.edu</t>
  </si>
  <si>
    <t>Illinois State University</t>
  </si>
  <si>
    <t>admissions@illinoisstate.edu</t>
  </si>
  <si>
    <t>Illinois Wesleyan University</t>
  </si>
  <si>
    <t>iwuadmit@iwu.edu</t>
  </si>
  <si>
    <t>Immaculata University</t>
  </si>
  <si>
    <t>Admiss@immaculata.edu</t>
  </si>
  <si>
    <t>Indiana Institute Of Technology</t>
  </si>
  <si>
    <t>admissions@indianatech.edu</t>
  </si>
  <si>
    <t>Indiana State University</t>
  </si>
  <si>
    <t>admissions@indstate.edu</t>
  </si>
  <si>
    <t>Indiana University Bloomington</t>
  </si>
  <si>
    <t>iuadmit@indiana.edu</t>
  </si>
  <si>
    <t>Indiana University East</t>
  </si>
  <si>
    <t>applynow@iue.edu</t>
  </si>
  <si>
    <t>Indiana University Kokomo</t>
  </si>
  <si>
    <t>iuadmis@iuk.edu</t>
  </si>
  <si>
    <t>Indiana University Northwest</t>
  </si>
  <si>
    <t>admit@iun.edu</t>
  </si>
  <si>
    <t>Indiana University Of Pennsylvania</t>
  </si>
  <si>
    <t>admissions-inquiry@iup.edu</t>
  </si>
  <si>
    <t>Indiana University South Bend</t>
  </si>
  <si>
    <t>admissions@iusb.edu</t>
  </si>
  <si>
    <t>Indiana University Southeast</t>
  </si>
  <si>
    <t>admissions@ius.edu</t>
  </si>
  <si>
    <t>Indiana Wesleyan University</t>
  </si>
  <si>
    <t>admissions@indwes.edu</t>
  </si>
  <si>
    <t>Institute Of American Indian Arts</t>
  </si>
  <si>
    <t>admissions@iaia.edu</t>
  </si>
  <si>
    <t>Inter American University Of Puerto Rico Aguadilla</t>
  </si>
  <si>
    <t>gcortes@aguadilla.inter.edu</t>
  </si>
  <si>
    <t>Inter American University Of Puerto Rico San German</t>
  </si>
  <si>
    <t>milcama@intersg.edu</t>
  </si>
  <si>
    <t>Iona College</t>
  </si>
  <si>
    <t>admissions@iona.edu</t>
  </si>
  <si>
    <t>Iowa State University</t>
  </si>
  <si>
    <t>admissions@iastate.edu</t>
  </si>
  <si>
    <t>Iowa Wesleyan University</t>
  </si>
  <si>
    <t>admit@iw.edu</t>
  </si>
  <si>
    <t>IPFW</t>
  </si>
  <si>
    <t>ask@ipfw.edu</t>
  </si>
  <si>
    <t>Ithaca College</t>
  </si>
  <si>
    <t>admission@ithaca.edu</t>
  </si>
  <si>
    <t>IUPUI</t>
  </si>
  <si>
    <t>apply@iupui.edu</t>
  </si>
  <si>
    <t>Jackson State University</t>
  </si>
  <si>
    <t>admappl@jsums.edu</t>
  </si>
  <si>
    <t>Jacksonville State University</t>
  </si>
  <si>
    <t>info@jsu.edu</t>
  </si>
  <si>
    <t>Jacksonville University</t>
  </si>
  <si>
    <t>admissions@ju.edu</t>
  </si>
  <si>
    <t>James Madison University</t>
  </si>
  <si>
    <t>admissions@jmu.edu</t>
  </si>
  <si>
    <t>Jarvis Christian College</t>
  </si>
  <si>
    <t>recruitment@jarvis.edu</t>
  </si>
  <si>
    <t>Jefferson College Health Sciences</t>
  </si>
  <si>
    <t>admissions@jchs.edu</t>
  </si>
  <si>
    <t>Jefferson Philadelphia University Thomas Jefferson University</t>
  </si>
  <si>
    <t>admissions@philau.edu</t>
  </si>
  <si>
    <t>John Brown University</t>
  </si>
  <si>
    <t>jbuinfo@jbu.edu</t>
  </si>
  <si>
    <t>John Cabot University Rome</t>
  </si>
  <si>
    <t>admissions@johncabot.edu</t>
  </si>
  <si>
    <t>John Carroll University</t>
  </si>
  <si>
    <t>enrollment@jcu.edu</t>
  </si>
  <si>
    <t>John Wesley University</t>
  </si>
  <si>
    <t>admissions@johnwesley.edu</t>
  </si>
  <si>
    <t>Johns Hopkins University</t>
  </si>
  <si>
    <t>gotojhu@jhu.edu</t>
  </si>
  <si>
    <t>Johnson C Smith University</t>
  </si>
  <si>
    <t>admissions@jcsu.edu</t>
  </si>
  <si>
    <t>Johnson University</t>
  </si>
  <si>
    <t>admissions@johnsonu.edu</t>
  </si>
  <si>
    <t>Johnson Wales University</t>
  </si>
  <si>
    <t>mia@admissions.jwu.edu</t>
  </si>
  <si>
    <t>Judson College</t>
  </si>
  <si>
    <t>admissions@judson.edu</t>
  </si>
  <si>
    <t>Judson University</t>
  </si>
  <si>
    <t>admissions@judsonu.edu</t>
  </si>
  <si>
    <t>Juilliard School</t>
  </si>
  <si>
    <t>admissions@juilliard.edu</t>
  </si>
  <si>
    <t>Juniata College</t>
  </si>
  <si>
    <t>applications@juniata.edu</t>
  </si>
  <si>
    <t>Kalamazoo College</t>
  </si>
  <si>
    <t>admission.records@kzoo.edu</t>
  </si>
  <si>
    <t>Kansas City Art Institute</t>
  </si>
  <si>
    <t>admiss@kcai.edu</t>
  </si>
  <si>
    <t>Kansas State University</t>
  </si>
  <si>
    <t>k-state@k-state.edu</t>
  </si>
  <si>
    <t>Kean University</t>
  </si>
  <si>
    <t>admitme@kean.edu</t>
  </si>
  <si>
    <t>Keene State College</t>
  </si>
  <si>
    <t>kscadmissions@keene.edu</t>
  </si>
  <si>
    <t>Kendall College</t>
  </si>
  <si>
    <t>info@kendall.edu</t>
  </si>
  <si>
    <t>Kennesaw State University</t>
  </si>
  <si>
    <t>ksuadmit@kennesaw.edu</t>
  </si>
  <si>
    <t>Kent State University</t>
  </si>
  <si>
    <t>admissions@kent.edu</t>
  </si>
  <si>
    <t>Kentucky Christian University</t>
  </si>
  <si>
    <t>knights@kcu.edu</t>
  </si>
  <si>
    <t>Kentucky Mountain Bible College</t>
  </si>
  <si>
    <t>kmbc@kmbc.edu</t>
  </si>
  <si>
    <t>Kentucky State University</t>
  </si>
  <si>
    <t>admissions@kysu.edu</t>
  </si>
  <si>
    <t>Kentucky Wesleyan College</t>
  </si>
  <si>
    <t>admissions@kwc.edu</t>
  </si>
  <si>
    <t>Kenyon College</t>
  </si>
  <si>
    <t>admissions@kenyon.edu</t>
  </si>
  <si>
    <t>Kettering University</t>
  </si>
  <si>
    <t>admissions@kettering.edu</t>
  </si>
  <si>
    <t>Keuka College</t>
  </si>
  <si>
    <t>admissions@keuka.edu</t>
  </si>
  <si>
    <t>Keystone College</t>
  </si>
  <si>
    <t>admissions@keystone.edu</t>
  </si>
  <si>
    <t>King University</t>
  </si>
  <si>
    <t>admission@king.edu</t>
  </si>
  <si>
    <t>Kings College</t>
  </si>
  <si>
    <t>admissions@kings.edu</t>
  </si>
  <si>
    <t>Knox College</t>
  </si>
  <si>
    <t>admission@knox.edu</t>
  </si>
  <si>
    <t>Kutztown University Of Pennsylvania</t>
  </si>
  <si>
    <t>admissions@kutztown.edu</t>
  </si>
  <si>
    <t>Kuyper College</t>
  </si>
  <si>
    <t>admissions@kuyper.edu</t>
  </si>
  <si>
    <t>La Roche College</t>
  </si>
  <si>
    <t>admissions@laroche.edu</t>
  </si>
  <si>
    <t>La Salle University</t>
  </si>
  <si>
    <t>admiss@lasalle.edu</t>
  </si>
  <si>
    <t>La Sierra University</t>
  </si>
  <si>
    <t>admissions@lasierra.edu</t>
  </si>
  <si>
    <t>Lafayette College</t>
  </si>
  <si>
    <t>admissions@lafayette.edu</t>
  </si>
  <si>
    <t>Lagrange College</t>
  </si>
  <si>
    <t>admission@lagrange.edu</t>
  </si>
  <si>
    <t>Laguna College Of Art And Design</t>
  </si>
  <si>
    <t>admissions@lcad.edu</t>
  </si>
  <si>
    <t>Lake Erie College</t>
  </si>
  <si>
    <t>admissions@lec.edu</t>
  </si>
  <si>
    <t>Lake Forest College</t>
  </si>
  <si>
    <t>admissions@lakeforest.edu</t>
  </si>
  <si>
    <t>Lake Superior State University</t>
  </si>
  <si>
    <t>admissions@lssu.edu</t>
  </si>
  <si>
    <t>Lakeland University</t>
  </si>
  <si>
    <t>admissions@lakeland.edu</t>
  </si>
  <si>
    <t>Lamar University</t>
  </si>
  <si>
    <t>admissions@lamar.edu</t>
  </si>
  <si>
    <t>Lander University</t>
  </si>
  <si>
    <t>admissions@lander.edu</t>
  </si>
  <si>
    <t>Lane College</t>
  </si>
  <si>
    <t>admissions@lanecollege.edu</t>
  </si>
  <si>
    <t>Langston University</t>
  </si>
  <si>
    <t>admissions@langston.edu</t>
  </si>
  <si>
    <t>Lasell College</t>
  </si>
  <si>
    <t>info@lasell.edu</t>
  </si>
  <si>
    <t>Lawrence Technological University</t>
  </si>
  <si>
    <t>admissions@ltu.edu</t>
  </si>
  <si>
    <t>Lawrence University</t>
  </si>
  <si>
    <t>admissions@lawrence.edu</t>
  </si>
  <si>
    <t>Le Moyne College</t>
  </si>
  <si>
    <t>admission@lemoyne.edu</t>
  </si>
  <si>
    <t>Leavell College Of New Orleans Baptist Theological Seminary</t>
  </si>
  <si>
    <t>leavelladmissions@nobts.edu</t>
  </si>
  <si>
    <t>Lebanon Valley College</t>
  </si>
  <si>
    <t>admission@lvc.edu</t>
  </si>
  <si>
    <t>Lee University</t>
  </si>
  <si>
    <t>admissions@leeuniversity.edu</t>
  </si>
  <si>
    <t>Lees Mcrae College</t>
  </si>
  <si>
    <t>admissions@lmc.edu</t>
  </si>
  <si>
    <t>Lehigh University</t>
  </si>
  <si>
    <t>admissions@lehigh.edu</t>
  </si>
  <si>
    <t>Lemoyne Owen College</t>
  </si>
  <si>
    <t>admission@loc.edu</t>
  </si>
  <si>
    <t>Lenoir Rhyne University</t>
  </si>
  <si>
    <t>admission@lr.edu</t>
  </si>
  <si>
    <t>Lesley University</t>
  </si>
  <si>
    <t>admissions@lesley.edu</t>
  </si>
  <si>
    <t>Letourneau University</t>
  </si>
  <si>
    <t>admissions@letu.edu</t>
  </si>
  <si>
    <t>Lewis Clark College</t>
  </si>
  <si>
    <t>admissions@lclark.edu</t>
  </si>
  <si>
    <t>Lewis Clark State College</t>
  </si>
  <si>
    <t>admissions@lcsc.edu</t>
  </si>
  <si>
    <t>Lewis University</t>
  </si>
  <si>
    <t>admissions@lewisu.edu</t>
  </si>
  <si>
    <t>Liberty University</t>
  </si>
  <si>
    <t>admissions@liberty.edu</t>
  </si>
  <si>
    <t>Life Pacific College</t>
  </si>
  <si>
    <t>info@lifepacific.edu</t>
  </si>
  <si>
    <t>Life University</t>
  </si>
  <si>
    <t>admission@life.edu</t>
  </si>
  <si>
    <t>Lim College</t>
  </si>
  <si>
    <t>admissions@limcollege.edu</t>
  </si>
  <si>
    <t>Limestone College</t>
  </si>
  <si>
    <t>admiss@limestone.edu</t>
  </si>
  <si>
    <t>Lincoln Christian University</t>
  </si>
  <si>
    <t>enroll@lincolnchristian.edu</t>
  </si>
  <si>
    <t>Lincoln Memorial University</t>
  </si>
  <si>
    <t>admissions@lmunet.edu</t>
  </si>
  <si>
    <t>Lincoln University</t>
  </si>
  <si>
    <t>admissions@lincolnuca.edu</t>
  </si>
  <si>
    <t>admissions@lincoln.edu</t>
  </si>
  <si>
    <t>admissions@lincolnu.edu</t>
  </si>
  <si>
    <t>Lindenwood University</t>
  </si>
  <si>
    <t>Admissions@lindenwood.edu</t>
  </si>
  <si>
    <t>Lindsey Wilson College</t>
  </si>
  <si>
    <t>admissions@lindsey.edu</t>
  </si>
  <si>
    <t>Linfield College</t>
  </si>
  <si>
    <t>admission@linfield.edu</t>
  </si>
  <si>
    <t>Lipscomb University</t>
  </si>
  <si>
    <t>admissions@lipscomb.edu</t>
  </si>
  <si>
    <t>List College Jewish Theological Seminary</t>
  </si>
  <si>
    <t>lcadmissions@jtsa.edu</t>
  </si>
  <si>
    <t>Livingstone College</t>
  </si>
  <si>
    <t>admissions@livingstone.edu</t>
  </si>
  <si>
    <t>Lock Haven University Of Pennsylvania</t>
  </si>
  <si>
    <t>admissions@lockhaven.edu</t>
  </si>
  <si>
    <t>Long Island University Brooklyn Campus</t>
  </si>
  <si>
    <t>bkln-admissions@liu.edu</t>
  </si>
  <si>
    <t>Longwood University</t>
  </si>
  <si>
    <t>admissions@longwood.edu</t>
  </si>
  <si>
    <t>Loras College</t>
  </si>
  <si>
    <t>admissions@loras.edu</t>
  </si>
  <si>
    <t>Louisiana College</t>
  </si>
  <si>
    <t>admissions@lacollege.edu</t>
  </si>
  <si>
    <t>Louisiana State University Am Baton Rouge</t>
  </si>
  <si>
    <t>admissions@lsu.edu</t>
  </si>
  <si>
    <t>Louisiana State University Shreveport</t>
  </si>
  <si>
    <t>admissions@lsus.edu</t>
  </si>
  <si>
    <t>Louisiana Tech University</t>
  </si>
  <si>
    <t>bulldog@latech.edu</t>
  </si>
  <si>
    <t>Lourdes University</t>
  </si>
  <si>
    <t>luadmits@lourdes.edu</t>
  </si>
  <si>
    <t>Loyola Marymount University</t>
  </si>
  <si>
    <t>admissions@lmu.edu</t>
  </si>
  <si>
    <t>Loyola University Chicago</t>
  </si>
  <si>
    <t>admission@luc.edu</t>
  </si>
  <si>
    <t>Loyola University Maryland</t>
  </si>
  <si>
    <t>admission@loyola.edu</t>
  </si>
  <si>
    <t>Loyola University New Orleans</t>
  </si>
  <si>
    <t>admit@loyno.edu</t>
  </si>
  <si>
    <t>Lubbock Christian University</t>
  </si>
  <si>
    <t>admissions@lcu.edu</t>
  </si>
  <si>
    <t>Luther College</t>
  </si>
  <si>
    <t>admissions@luther.edu</t>
  </si>
  <si>
    <t>Luther Rice College Seminary</t>
  </si>
  <si>
    <t>admissions@lutherrice.edu</t>
  </si>
  <si>
    <t>Lycoming College</t>
  </si>
  <si>
    <t>admissions@lycoming.edu</t>
  </si>
  <si>
    <t>Lyme Academy College Of Fine Arts</t>
  </si>
  <si>
    <t>admissions@lymefs.newhaven.edu</t>
  </si>
  <si>
    <t>Lynn University</t>
  </si>
  <si>
    <t>admission@lynn.edu</t>
  </si>
  <si>
    <t>Lyon College</t>
  </si>
  <si>
    <t>admissions@lyon.edu</t>
  </si>
  <si>
    <t>Macalester College</t>
  </si>
  <si>
    <t>admissions@macalester.edu</t>
  </si>
  <si>
    <t>Macmurray College</t>
  </si>
  <si>
    <t>admissions@mac.edu</t>
  </si>
  <si>
    <t>Madonna University</t>
  </si>
  <si>
    <t>admissions@madonna.edu</t>
  </si>
  <si>
    <t>Maharishi University Of Management</t>
  </si>
  <si>
    <t>admissions@mum.edu</t>
  </si>
  <si>
    <t>Maine College Art</t>
  </si>
  <si>
    <t>admissions@meca.edu</t>
  </si>
  <si>
    <t>Maine Maritime Academy</t>
  </si>
  <si>
    <t>admissions@mma.edu</t>
  </si>
  <si>
    <t>Malone University</t>
  </si>
  <si>
    <t>admissions@malone.edu</t>
  </si>
  <si>
    <t>Manchester University</t>
  </si>
  <si>
    <t>admitinfo@manchester.edu</t>
  </si>
  <si>
    <t>Manhattan Christian College</t>
  </si>
  <si>
    <t>admit@mccks.edu</t>
  </si>
  <si>
    <t>Manhattan College</t>
  </si>
  <si>
    <t>admit@manhattan.edu</t>
  </si>
  <si>
    <t>Manhattan School Of Music</t>
  </si>
  <si>
    <t>admission@msmnyc.edu</t>
  </si>
  <si>
    <t>Manhattanville College</t>
  </si>
  <si>
    <t>admissions@mville.edu</t>
  </si>
  <si>
    <t>Mansfield University Of Pennsylvania</t>
  </si>
  <si>
    <t>admissions@mansfield.edu</t>
  </si>
  <si>
    <t>Maranatha Baptist University</t>
  </si>
  <si>
    <t>admissions@mbu.edu</t>
  </si>
  <si>
    <t>Marian University Indiana</t>
  </si>
  <si>
    <t>admissions@marian.edu</t>
  </si>
  <si>
    <t>Marian University Wisconsin</t>
  </si>
  <si>
    <t>admissions@marianuniversity.edu</t>
  </si>
  <si>
    <t>Marietta College</t>
  </si>
  <si>
    <t>wardens@marietta.edu</t>
  </si>
  <si>
    <t>Marist College</t>
  </si>
  <si>
    <t>admission@marist.edu</t>
  </si>
  <si>
    <t>Marlboro College</t>
  </si>
  <si>
    <t>admissions@marlboro.edu</t>
  </si>
  <si>
    <t>Marquette University</t>
  </si>
  <si>
    <t>admissions@mu.edu</t>
  </si>
  <si>
    <t>admissions@marquette.edu</t>
  </si>
  <si>
    <t>Mars Hill University</t>
  </si>
  <si>
    <t>admissions@mhu.edu</t>
  </si>
  <si>
    <t>Marshall University</t>
  </si>
  <si>
    <t>admissions@marshall.edu</t>
  </si>
  <si>
    <t>Martin Luther College</t>
  </si>
  <si>
    <t>bauermd@mlc-wels.edu</t>
  </si>
  <si>
    <t>Martin Methodist College</t>
  </si>
  <si>
    <t>admit@martinmethodist.edu</t>
  </si>
  <si>
    <t>Martin University</t>
  </si>
  <si>
    <t>admissions@martin.edu</t>
  </si>
  <si>
    <t>Mary Baldwin University</t>
  </si>
  <si>
    <t>admit@marybaldwin.edu</t>
  </si>
  <si>
    <t>Marygrove College</t>
  </si>
  <si>
    <t>info@marygrove.edu</t>
  </si>
  <si>
    <t>Maryland Institute College Art</t>
  </si>
  <si>
    <t>admissions@mica.edu</t>
  </si>
  <si>
    <t>Marylhurst University</t>
  </si>
  <si>
    <t>admissions@marylhurst.edu</t>
  </si>
  <si>
    <t>Marymount California University</t>
  </si>
  <si>
    <t>admission@marymountcalifornia.edu</t>
  </si>
  <si>
    <t>Marymount Manhattan College</t>
  </si>
  <si>
    <t>admissions@mmm.edu</t>
  </si>
  <si>
    <t>Marymount University</t>
  </si>
  <si>
    <t>admissions@marymount.edu</t>
  </si>
  <si>
    <t>Maryville College</t>
  </si>
  <si>
    <t>admissions@maryvillecollege.edu</t>
  </si>
  <si>
    <t>Maryville University St Louis</t>
  </si>
  <si>
    <t>admissions@maryville.edu</t>
  </si>
  <si>
    <t>Marywood University</t>
  </si>
  <si>
    <t>yourfuture@marywood.edu</t>
  </si>
  <si>
    <t>Massachusetts College Art And Design</t>
  </si>
  <si>
    <t>admissions@massart.edu</t>
  </si>
  <si>
    <t>Massachusetts College Liberal Arts</t>
  </si>
  <si>
    <t>admissions@mcla.edu</t>
  </si>
  <si>
    <t>Massachusetts College Pharmacy And Health Sciences Mcphs University</t>
  </si>
  <si>
    <t>admissions@mcphs.edu</t>
  </si>
  <si>
    <t>Massachusetts Institute Of Technology</t>
  </si>
  <si>
    <t>admissions@mit.edu</t>
  </si>
  <si>
    <t>Massachusetts Maritime Academy</t>
  </si>
  <si>
    <t>admissions@maritime.edu</t>
  </si>
  <si>
    <t>Mayville State University</t>
  </si>
  <si>
    <t>masu.admissions@mayvillestate.edu</t>
  </si>
  <si>
    <t>Mcdaniel College</t>
  </si>
  <si>
    <t>admissions@mcdaniel.edu</t>
  </si>
  <si>
    <t>Mckendree University</t>
  </si>
  <si>
    <t>inquiry@mckendree.edu</t>
  </si>
  <si>
    <t>Mcmurry University</t>
  </si>
  <si>
    <t>admissions@mcm.edu</t>
  </si>
  <si>
    <t>Mcneese State University</t>
  </si>
  <si>
    <t>admissions@mcneese.edu</t>
  </si>
  <si>
    <t>Mcpherson College</t>
  </si>
  <si>
    <t>admissions@mcpherson.edu</t>
  </si>
  <si>
    <t>Medaille College</t>
  </si>
  <si>
    <t>admissionsug@medaille.edu</t>
  </si>
  <si>
    <t>Medical University Of South Carolina</t>
  </si>
  <si>
    <t>oesadmis@musc.edu</t>
  </si>
  <si>
    <t>Memphis College Of Art</t>
  </si>
  <si>
    <t>info@mca.edu</t>
  </si>
  <si>
    <t>Menlo College</t>
  </si>
  <si>
    <t>admissions@menlo.edu</t>
  </si>
  <si>
    <t>Mercer University</t>
  </si>
  <si>
    <t>admissions@mercer.edu</t>
  </si>
  <si>
    <t>Mercy College</t>
  </si>
  <si>
    <t>admissions@mercy.edu</t>
  </si>
  <si>
    <t>Mercy College Of Health Sciences</t>
  </si>
  <si>
    <t>admissions@mchs.edu</t>
  </si>
  <si>
    <t>Mercyhurst University</t>
  </si>
  <si>
    <t>admissions@mercyhurst.edu</t>
  </si>
  <si>
    <t>Meredith College</t>
  </si>
  <si>
    <t>admissions@meredith.edu</t>
  </si>
  <si>
    <t>Merrimack College</t>
  </si>
  <si>
    <t>admission@merrimack.edu</t>
  </si>
  <si>
    <t>Messiah College</t>
  </si>
  <si>
    <t>admissions@messiah.edu</t>
  </si>
  <si>
    <t>Methodist University</t>
  </si>
  <si>
    <t>admissions@methodist.edu</t>
  </si>
  <si>
    <t>Metropolitan College Of New York</t>
  </si>
  <si>
    <t>admissions@mcny.edu</t>
  </si>
  <si>
    <t>Metropolitan State University</t>
  </si>
  <si>
    <t>admission.metro@metrostate.edu</t>
  </si>
  <si>
    <t>Metropolitan State University Of Denver</t>
  </si>
  <si>
    <t>askmetro@msudenver.edu</t>
  </si>
  <si>
    <t>Miami University Ohio</t>
  </si>
  <si>
    <t>admission@miamioh.edu</t>
  </si>
  <si>
    <t>Michigan State University</t>
  </si>
  <si>
    <t>admis@msu.edu</t>
  </si>
  <si>
    <t>Michigan Technological University</t>
  </si>
  <si>
    <t>mtu4u@mtu.edu</t>
  </si>
  <si>
    <t>Mid America Christian University</t>
  </si>
  <si>
    <t>admissions@macu.edu</t>
  </si>
  <si>
    <t>Mid Atlantic Christian University</t>
  </si>
  <si>
    <t>admissions@macuniversity.edu</t>
  </si>
  <si>
    <t>Midamerica Nazarene University</t>
  </si>
  <si>
    <t>admissions@mnu.edu</t>
  </si>
  <si>
    <t>Middle Georgia State University</t>
  </si>
  <si>
    <t>admissions@mga.edu</t>
  </si>
  <si>
    <t>Middle Tennessee State University</t>
  </si>
  <si>
    <t>admissions@mtsu.edu</t>
  </si>
  <si>
    <t>Middlebury College</t>
  </si>
  <si>
    <t>admissions@middlebury.edu</t>
  </si>
  <si>
    <t>Midland University</t>
  </si>
  <si>
    <t>admissions@midlandu.edu</t>
  </si>
  <si>
    <t>Midway University</t>
  </si>
  <si>
    <t>admissions@midway.edu</t>
  </si>
  <si>
    <t>Midwestern State University</t>
  </si>
  <si>
    <t>admissions@mwsu.edu</t>
  </si>
  <si>
    <t>Miles College</t>
  </si>
  <si>
    <t>admissions@miles.edu</t>
  </si>
  <si>
    <t>Millersville University</t>
  </si>
  <si>
    <t>admissions@millersville.edu</t>
  </si>
  <si>
    <t>Milligan College</t>
  </si>
  <si>
    <t>admissions@milligan.edu</t>
  </si>
  <si>
    <t>Millikin University</t>
  </si>
  <si>
    <t>admis@millikin.edu</t>
  </si>
  <si>
    <t>Mills College</t>
  </si>
  <si>
    <t>admission@mills.edu</t>
  </si>
  <si>
    <t>Millsaps College</t>
  </si>
  <si>
    <t>admissions@millsaps.edu</t>
  </si>
  <si>
    <t>Milwaukee Institute Of Art And Design</t>
  </si>
  <si>
    <t>admissions@miad.edu</t>
  </si>
  <si>
    <t>Milwaukee School Engineering</t>
  </si>
  <si>
    <t>explore@msoe.edu</t>
  </si>
  <si>
    <t>Minerva Schools Kgi</t>
  </si>
  <si>
    <t>admissions@minerva.kgi.edu</t>
  </si>
  <si>
    <t>Minneapolis College Of Art And Design</t>
  </si>
  <si>
    <t>admissions@mcad.edu</t>
  </si>
  <si>
    <t>Minnesota State University Mankato</t>
  </si>
  <si>
    <t>admissions@mnsu.edu</t>
  </si>
  <si>
    <t>Minnesota State University Moorhead</t>
  </si>
  <si>
    <t>admissions@mnstate.edu</t>
  </si>
  <si>
    <t>Minot State University</t>
  </si>
  <si>
    <t>askmsu@minotstateu.edu</t>
  </si>
  <si>
    <t>Misericordia University</t>
  </si>
  <si>
    <t>admiss@misericordia.edu</t>
  </si>
  <si>
    <t>Mississippi College</t>
  </si>
  <si>
    <t>admissions@mc.edu</t>
  </si>
  <si>
    <t>Mississippi State University</t>
  </si>
  <si>
    <t>admit@msstate.edu</t>
  </si>
  <si>
    <t>Mississippi University For Women</t>
  </si>
  <si>
    <t>admissions@muw.edu</t>
  </si>
  <si>
    <t>Mississippi Valley State University</t>
  </si>
  <si>
    <t>admsn@mvsu.edu</t>
  </si>
  <si>
    <t>Missouri Baptist University</t>
  </si>
  <si>
    <t>admissions@mobap.edu</t>
  </si>
  <si>
    <t>Missouri Southern State University</t>
  </si>
  <si>
    <t>admissions@mssu.edu</t>
  </si>
  <si>
    <t>Missouri State University</t>
  </si>
  <si>
    <t>info@missouristate.edu</t>
  </si>
  <si>
    <t>Missouri University Science And Technology</t>
  </si>
  <si>
    <t>admissions@mst.edu</t>
  </si>
  <si>
    <t>Missouri Valley College</t>
  </si>
  <si>
    <t>admissions@moval.edu</t>
  </si>
  <si>
    <t>Missouri Western State University</t>
  </si>
  <si>
    <t>admissions@missouriwestern.edu</t>
  </si>
  <si>
    <t>Mitchell College</t>
  </si>
  <si>
    <t>admissions@mitchell.edu</t>
  </si>
  <si>
    <t>Molloy College</t>
  </si>
  <si>
    <t>admissions@molloy.edu</t>
  </si>
  <si>
    <t>Monash University</t>
  </si>
  <si>
    <t>scenquiries@monash.edu</t>
  </si>
  <si>
    <t>Monmouth College Il</t>
  </si>
  <si>
    <t>admissions@monmouthcollege.edu</t>
  </si>
  <si>
    <t>Monmouth University</t>
  </si>
  <si>
    <t>admission@monmouth.edu</t>
  </si>
  <si>
    <t>Montana State University Billings</t>
  </si>
  <si>
    <t>admissions@msubillings.edu</t>
  </si>
  <si>
    <t>Montana State University Bozeman</t>
  </si>
  <si>
    <t>admissions@montana.edu</t>
  </si>
  <si>
    <t>Montana State University Northern</t>
  </si>
  <si>
    <t>admissions@msun.edu</t>
  </si>
  <si>
    <t>Montana Tech</t>
  </si>
  <si>
    <t>enrollment@mtech.edu</t>
  </si>
  <si>
    <t>Montclair State University</t>
  </si>
  <si>
    <t>msuadm@montclair.edu</t>
  </si>
  <si>
    <t>Montreat College</t>
  </si>
  <si>
    <t>admissions@montreat.edu</t>
  </si>
  <si>
    <t>Montserrat College Art</t>
  </si>
  <si>
    <t>admissions@montserrat.edu</t>
  </si>
  <si>
    <t>Moravian College</t>
  </si>
  <si>
    <t>admissions@moravian.edu</t>
  </si>
  <si>
    <t>Morehead State University</t>
  </si>
  <si>
    <t>admissions@moreheadstate.edu</t>
  </si>
  <si>
    <t>Morehouse College</t>
  </si>
  <si>
    <t>admissions@morehouse.edu</t>
  </si>
  <si>
    <t>Morgan State University</t>
  </si>
  <si>
    <t>admissions@morgan.edu</t>
  </si>
  <si>
    <t>Morningside College</t>
  </si>
  <si>
    <t>admissions@morningside.edu</t>
  </si>
  <si>
    <t>Morris College</t>
  </si>
  <si>
    <t>dcalhoun@morris.edu</t>
  </si>
  <si>
    <t>Mount Aloysius College</t>
  </si>
  <si>
    <t>admissions@mtaloy.edu</t>
  </si>
  <si>
    <t>Mount Carmel College Of Nursing</t>
  </si>
  <si>
    <t>mccnadmissions@mccn.edu</t>
  </si>
  <si>
    <t>Mount Holyoke College</t>
  </si>
  <si>
    <t>admission@mtholyoke.edu</t>
  </si>
  <si>
    <t>Mount Marty College</t>
  </si>
  <si>
    <t>mmcadmit@mtmc.edu</t>
  </si>
  <si>
    <t>Mount Mary University</t>
  </si>
  <si>
    <t>mmu-admiss@mtmary.edu</t>
  </si>
  <si>
    <t>Mount Mercy University</t>
  </si>
  <si>
    <t>admission@mtmercy.edu</t>
  </si>
  <si>
    <t>Mount Saint Mary College</t>
  </si>
  <si>
    <t>admissions@msmc.edu</t>
  </si>
  <si>
    <t>Mount Saint Marys University</t>
  </si>
  <si>
    <t>admissions@msmu.edu</t>
  </si>
  <si>
    <t>Mount St Joseph University</t>
  </si>
  <si>
    <t>admission@msj.edu</t>
  </si>
  <si>
    <t>Mount St Marys University</t>
  </si>
  <si>
    <t>admissions@msmary.edu</t>
  </si>
  <si>
    <t>Mount Vernon Nazarene University</t>
  </si>
  <si>
    <t>admissions@mvnu.edu</t>
  </si>
  <si>
    <t>Muhlenberg College</t>
  </si>
  <si>
    <t>admissions@muhlenberg.edu</t>
  </si>
  <si>
    <t>Multnomah University</t>
  </si>
  <si>
    <t>admiss@multnomah.edu</t>
  </si>
  <si>
    <t>Murray State University</t>
  </si>
  <si>
    <t>msu.admissions@murraystate.edu</t>
  </si>
  <si>
    <t>Muskingum University</t>
  </si>
  <si>
    <t>adminfo@muskingum.edu</t>
  </si>
  <si>
    <t>Naropa University</t>
  </si>
  <si>
    <t>admissions@naropa.edu</t>
  </si>
  <si>
    <t>National Louis University</t>
  </si>
  <si>
    <t>admissions@nl.edu</t>
  </si>
  <si>
    <t>Nazarene Bible College</t>
  </si>
  <si>
    <t>info@nbc.edu</t>
  </si>
  <si>
    <t>Nazareth College</t>
  </si>
  <si>
    <t>admissions@naz.edu</t>
  </si>
  <si>
    <t>Nebraska Christian College</t>
  </si>
  <si>
    <t>admissions@nechristian.edu</t>
  </si>
  <si>
    <t>Nebraska Methodist College</t>
  </si>
  <si>
    <t>admissions@methodistcollege.edu</t>
  </si>
  <si>
    <t>Nebraska Wesleyan University</t>
  </si>
  <si>
    <t>admissions@nebrwesleyan.edu</t>
  </si>
  <si>
    <t>Neumann University</t>
  </si>
  <si>
    <t>neumann@neumann.edu</t>
  </si>
  <si>
    <t>Neumont College Of Computer Science</t>
  </si>
  <si>
    <t>admissions@neumont.edu</t>
  </si>
  <si>
    <t>Nevada State College</t>
  </si>
  <si>
    <t>admissions@nsc.edu</t>
  </si>
  <si>
    <t>New College Florida</t>
  </si>
  <si>
    <t>admissions@ncf.edu</t>
  </si>
  <si>
    <t>New England College</t>
  </si>
  <si>
    <t>admission@nec.edu</t>
  </si>
  <si>
    <t>New England Conservatory Of Music</t>
  </si>
  <si>
    <t>admission@necmusic.edu</t>
  </si>
  <si>
    <t>New England Institute Technology</t>
  </si>
  <si>
    <t>admissions@neit.edu</t>
  </si>
  <si>
    <t>New Hampshire Institute Art</t>
  </si>
  <si>
    <t>admissions@nhia.edu</t>
  </si>
  <si>
    <t>New Hope Christian College</t>
  </si>
  <si>
    <t>admissions@newhope.edu</t>
  </si>
  <si>
    <t>New Jersey City University</t>
  </si>
  <si>
    <t>admissions@njcu.edu</t>
  </si>
  <si>
    <t>New Jersey Institute Technology</t>
  </si>
  <si>
    <t>admissions@njit.edu</t>
  </si>
  <si>
    <t>New Mexico Highlands University</t>
  </si>
  <si>
    <t>admission@nmhu.edu</t>
  </si>
  <si>
    <t>New Mexico Institute Of Mining And Technology</t>
  </si>
  <si>
    <t>admission@nmt.edu</t>
  </si>
  <si>
    <t>New Mexico State University</t>
  </si>
  <si>
    <t>admissions@nmsu.edu</t>
  </si>
  <si>
    <t>New School Of Architecture And Design</t>
  </si>
  <si>
    <t>bcharbonneau@newschoolarch.edu</t>
  </si>
  <si>
    <t>New York Institute Technology Nyit</t>
  </si>
  <si>
    <t>admissions@nyit.edu</t>
  </si>
  <si>
    <t>New York School Of Interior Design</t>
  </si>
  <si>
    <t>admissions@nysid.edu</t>
  </si>
  <si>
    <t>New York University</t>
  </si>
  <si>
    <t>admissions@nyu.edu</t>
  </si>
  <si>
    <t>Newberry College</t>
  </si>
  <si>
    <t>admission@newberry.edu</t>
  </si>
  <si>
    <t>Newbury College</t>
  </si>
  <si>
    <t>admissions@newbury.edu</t>
  </si>
  <si>
    <t>Newman University</t>
  </si>
  <si>
    <t>admissions@newmanu.edu</t>
  </si>
  <si>
    <t>Niagara University</t>
  </si>
  <si>
    <t>admissions@niagara.edu</t>
  </si>
  <si>
    <t>Nicholls State University</t>
  </si>
  <si>
    <t>nicholls@nicholls.edu</t>
  </si>
  <si>
    <t>Nichols College</t>
  </si>
  <si>
    <t>admissions@nichols.edu</t>
  </si>
  <si>
    <t>Norfolk State University</t>
  </si>
  <si>
    <t>admissions@nsu.edu</t>
  </si>
  <si>
    <t>North Carolina Central University</t>
  </si>
  <si>
    <t>admissions@nccu.edu</t>
  </si>
  <si>
    <t>North Carolina State University</t>
  </si>
  <si>
    <t>undergrad-admissions@ncsu.edu</t>
  </si>
  <si>
    <t>uadmit@ncat.edu</t>
  </si>
  <si>
    <t>North Carolina Wesleyan College</t>
  </si>
  <si>
    <t>adm@ncwc.edu</t>
  </si>
  <si>
    <t>North Central College</t>
  </si>
  <si>
    <t>admissions@noctrl.edu</t>
  </si>
  <si>
    <t>North Central University</t>
  </si>
  <si>
    <t>admissions@northcentral.edu</t>
  </si>
  <si>
    <t>North Dakota State University</t>
  </si>
  <si>
    <t>ndsu.admission@ndsu.edu</t>
  </si>
  <si>
    <t>North Greenville University</t>
  </si>
  <si>
    <t>admissions@ngu.edu</t>
  </si>
  <si>
    <t>North Park University</t>
  </si>
  <si>
    <t>admissions@northpark.edu</t>
  </si>
  <si>
    <t>Northeastern Illinois University</t>
  </si>
  <si>
    <t>admrec@neiu.edu</t>
  </si>
  <si>
    <t>Northeastern State University</t>
  </si>
  <si>
    <t>nsuinfo@nsuok.edu</t>
  </si>
  <si>
    <t>Northern Arizona University</t>
  </si>
  <si>
    <t>admissions@nau.edu</t>
  </si>
  <si>
    <t>Northern Illinois University</t>
  </si>
  <si>
    <t>admissions@niu.edu</t>
  </si>
  <si>
    <t>Northern Kentucky University</t>
  </si>
  <si>
    <t>beanorse@nku.edu</t>
  </si>
  <si>
    <t>Northern Michigan University</t>
  </si>
  <si>
    <t>admissions@nmu.edu</t>
  </si>
  <si>
    <t>Northern State University</t>
  </si>
  <si>
    <t>admissions@northern.edu</t>
  </si>
  <si>
    <t>Northern Vermont University</t>
  </si>
  <si>
    <t>Admissions@NorthernVermont.edu</t>
  </si>
  <si>
    <t>Northern Vermont University Johnson Campus</t>
  </si>
  <si>
    <t>jscadmissions@jsc.edu</t>
  </si>
  <si>
    <t>Northland College</t>
  </si>
  <si>
    <t>admit@northland.edu</t>
  </si>
  <si>
    <t>Northwest Christian University</t>
  </si>
  <si>
    <t>admissions@nwcu.edu</t>
  </si>
  <si>
    <t>Northwest Missouri State University</t>
  </si>
  <si>
    <t>admissions@nwmissouri.edu</t>
  </si>
  <si>
    <t>Northwest Nazarene University</t>
  </si>
  <si>
    <t>admissions@nnu.edu</t>
  </si>
  <si>
    <t>Northwest University</t>
  </si>
  <si>
    <t>admissions@northwestu.edu</t>
  </si>
  <si>
    <t>Northwestern College</t>
  </si>
  <si>
    <t>admissions@nwciowa.edu</t>
  </si>
  <si>
    <t>Northwestern Oklahoma State University</t>
  </si>
  <si>
    <t>recruit@nwosu.edu</t>
  </si>
  <si>
    <t>Northwestern State University Of Louisiana</t>
  </si>
  <si>
    <t>applications@nsula.edu</t>
  </si>
  <si>
    <t>Northwestern University</t>
  </si>
  <si>
    <t>ug-admission@northwestern.edu</t>
  </si>
  <si>
    <t>Northwood University</t>
  </si>
  <si>
    <t>admit@northwood.edu</t>
  </si>
  <si>
    <t>Norwich University</t>
  </si>
  <si>
    <t>nuadm@norwich.edu</t>
  </si>
  <si>
    <t>Notre Dame De Namur University</t>
  </si>
  <si>
    <t>admiss@ndnu.edu</t>
  </si>
  <si>
    <t>Notre Dame Of Maryland University</t>
  </si>
  <si>
    <t>admiss@ndm.edu</t>
  </si>
  <si>
    <t>Nova Southeastern University</t>
  </si>
  <si>
    <t>admissions@nova.edu</t>
  </si>
  <si>
    <t>Nyack College</t>
  </si>
  <si>
    <t>admissions@nyack.edu</t>
  </si>
  <si>
    <t>Oak Hills Christian College</t>
  </si>
  <si>
    <t>admissions@oakhills.edu</t>
  </si>
  <si>
    <t>Oakland City University</t>
  </si>
  <si>
    <t>admission@oak.edu</t>
  </si>
  <si>
    <t>Oakland University</t>
  </si>
  <si>
    <t>visit@oakland.edu</t>
  </si>
  <si>
    <t>Oakwood University</t>
  </si>
  <si>
    <t>admission@oakwood.edu</t>
  </si>
  <si>
    <t>Oberlin College Arts And Sciences</t>
  </si>
  <si>
    <t>college.admissions@oberlin.edu</t>
  </si>
  <si>
    <t>Occidental College</t>
  </si>
  <si>
    <t>admission@oxy.edu</t>
  </si>
  <si>
    <t>Oglethorpe University</t>
  </si>
  <si>
    <t>admission@oglethorpe.edu</t>
  </si>
  <si>
    <t>Ohio Dominican University</t>
  </si>
  <si>
    <t>admissions@ohiodominican.edu</t>
  </si>
  <si>
    <t>Ohio Northern University</t>
  </si>
  <si>
    <t>admissions-ug@onu.edu</t>
  </si>
  <si>
    <t>Ohio University</t>
  </si>
  <si>
    <t>admissions@ohio.edu</t>
  </si>
  <si>
    <t>Ohio Valley University</t>
  </si>
  <si>
    <t>admissions@ovu.edu</t>
  </si>
  <si>
    <t>Ohio Wesleyan University</t>
  </si>
  <si>
    <t>owuadmit@owu.edu</t>
  </si>
  <si>
    <t>Oklahoma Baptist University</t>
  </si>
  <si>
    <t>admissions@okbu.edu</t>
  </si>
  <si>
    <t>Oklahoma Christian University</t>
  </si>
  <si>
    <t>admissions@oc.edu</t>
  </si>
  <si>
    <t>Oklahoma City University</t>
  </si>
  <si>
    <t>admissions@okcu.edu</t>
  </si>
  <si>
    <t>Oklahoma Panhandle State University</t>
  </si>
  <si>
    <t>opsu@opsu.edu</t>
  </si>
  <si>
    <t>Oklahoma State University</t>
  </si>
  <si>
    <t>admissions@okstate.edu</t>
  </si>
  <si>
    <t>Oklahoma Wesleyan University</t>
  </si>
  <si>
    <t>admissions@okwu.edu</t>
  </si>
  <si>
    <t>Old Dominion University</t>
  </si>
  <si>
    <t>admissions@odu.edu</t>
  </si>
  <si>
    <t>Ole Miss University Mississippi</t>
  </si>
  <si>
    <t>admissions@olemiss.edu</t>
  </si>
  <si>
    <t>Olivet College</t>
  </si>
  <si>
    <t>admissions@olivetcollege.edu</t>
  </si>
  <si>
    <t>Olivet Nazarene University</t>
  </si>
  <si>
    <t>admissions@olivet.edu</t>
  </si>
  <si>
    <t>Oral Roberts University</t>
  </si>
  <si>
    <t>admissions@oru.edu</t>
  </si>
  <si>
    <t>Oregon College Of Art And Craft</t>
  </si>
  <si>
    <t>admissions@ocac.edu</t>
  </si>
  <si>
    <t>Oregon Institute Of Technology</t>
  </si>
  <si>
    <t>oit@oit.edu</t>
  </si>
  <si>
    <t>Oregon State University</t>
  </si>
  <si>
    <t>osuadmit@oregonstate.edu</t>
  </si>
  <si>
    <t>Otis College Art And Design</t>
  </si>
  <si>
    <t>admissions@otis.edu</t>
  </si>
  <si>
    <t>Ottawa University</t>
  </si>
  <si>
    <t>admiss@ottawa.edu</t>
  </si>
  <si>
    <t>Otterbein University</t>
  </si>
  <si>
    <t>uotterb@otterbein.edu</t>
  </si>
  <si>
    <t>Ouachita Baptist University</t>
  </si>
  <si>
    <t>admissions@obu.edu</t>
  </si>
  <si>
    <t>Our Lady Of The Lake University</t>
  </si>
  <si>
    <t>admission@ollusa.edu</t>
  </si>
  <si>
    <t>Pace University</t>
  </si>
  <si>
    <t>appprocessing@pace.edu</t>
  </si>
  <si>
    <t>Pacific Lutheran University</t>
  </si>
  <si>
    <t>admission@plu.edu</t>
  </si>
  <si>
    <t>Pacific Northwest College Of Art</t>
  </si>
  <si>
    <t>admissions@pnca.edu</t>
  </si>
  <si>
    <t>Pacific Oaks College</t>
  </si>
  <si>
    <t>admissions@pacificoaks.edu</t>
  </si>
  <si>
    <t>Pacific Union College</t>
  </si>
  <si>
    <t>admissions@puc.edu</t>
  </si>
  <si>
    <t>Pacific University Oregon</t>
  </si>
  <si>
    <t>admissions@pacificu.edu</t>
  </si>
  <si>
    <t>Paine College</t>
  </si>
  <si>
    <t>admissions@paine.edu</t>
  </si>
  <si>
    <t>Palm Beach Atlantic University</t>
  </si>
  <si>
    <t>admit@pba.edu</t>
  </si>
  <si>
    <t>Park University</t>
  </si>
  <si>
    <t>parkvilleadmissions@park.edu</t>
  </si>
  <si>
    <t>Patrick Henry College</t>
  </si>
  <si>
    <t>admissions@phc.edu</t>
  </si>
  <si>
    <t>Paul Quinn College</t>
  </si>
  <si>
    <t>apply@pqc.edu</t>
  </si>
  <si>
    <t>Paul Smiths College</t>
  </si>
  <si>
    <t>admissions@paulsmiths.edu</t>
  </si>
  <si>
    <t>Peirce College</t>
  </si>
  <si>
    <t>admissions@peirce.edu</t>
  </si>
  <si>
    <t>Penn State</t>
  </si>
  <si>
    <t>admissions@psu.edu</t>
  </si>
  <si>
    <t>Pennsylvania Academy Fine Arts</t>
  </si>
  <si>
    <t>admissions@pafa.edu</t>
  </si>
  <si>
    <t>Pennsylvania College Of Technology</t>
  </si>
  <si>
    <t>admissions@pct.edu</t>
  </si>
  <si>
    <t>Pepperdine University</t>
  </si>
  <si>
    <t>admission-seaver@pepperdine.edu</t>
  </si>
  <si>
    <t>Peru State College</t>
  </si>
  <si>
    <t>admissions@peru.edu</t>
  </si>
  <si>
    <t>Pfeiffer University</t>
  </si>
  <si>
    <t>admissions@pfeiffer.edu</t>
  </si>
  <si>
    <t>Philander Smith College</t>
  </si>
  <si>
    <t>admissions@philander.edu</t>
  </si>
  <si>
    <t>Piedmont College</t>
  </si>
  <si>
    <t>ugrad@piedmont.edu</t>
  </si>
  <si>
    <t>Piedmont International University</t>
  </si>
  <si>
    <t>admissions@piedmontu.edu</t>
  </si>
  <si>
    <t>Pine Manor College</t>
  </si>
  <si>
    <t>admissions@pmc.edu</t>
  </si>
  <si>
    <t>Pittsburg State University</t>
  </si>
  <si>
    <t>psuadmit@pittstate.edu</t>
  </si>
  <si>
    <t>Pitzer College</t>
  </si>
  <si>
    <t>admission@pitzer.edu</t>
  </si>
  <si>
    <t>Plymouth State University</t>
  </si>
  <si>
    <t>admissions@plymouth.edu</t>
  </si>
  <si>
    <t>Point Loma Nazarene University</t>
  </si>
  <si>
    <t>admissions@pointloma.edu</t>
  </si>
  <si>
    <t>Point Park University</t>
  </si>
  <si>
    <t>enroll@pointpark.edu</t>
  </si>
  <si>
    <t>Point University</t>
  </si>
  <si>
    <t>admissions@point.edu</t>
  </si>
  <si>
    <t>Polk State College</t>
  </si>
  <si>
    <t>studentservices@polk.edu</t>
  </si>
  <si>
    <t>Polytechnic University Of Puerto Rico</t>
  </si>
  <si>
    <t>tcardona@pupr.edu</t>
  </si>
  <si>
    <t>Pomona College</t>
  </si>
  <si>
    <t>admissions@pomona.edu</t>
  </si>
  <si>
    <t>Pontifical Catholic University Of Puerto Rico Ponce</t>
  </si>
  <si>
    <t>admisiones@pucpr.edu</t>
  </si>
  <si>
    <t>Pontifical College Josephinum</t>
  </si>
  <si>
    <t>admissions@pcj.edu</t>
  </si>
  <si>
    <t>Portland State University</t>
  </si>
  <si>
    <t>admissions@pdx.edu</t>
  </si>
  <si>
    <t>Potomac University Of The</t>
  </si>
  <si>
    <t>admissions@potomac.edu</t>
  </si>
  <si>
    <t>Prairie View Am University</t>
  </si>
  <si>
    <t>admissions@pvamu.edu</t>
  </si>
  <si>
    <t>Pratt Institute</t>
  </si>
  <si>
    <t>admissions@pratt.edu</t>
  </si>
  <si>
    <t>Presbyterian College</t>
  </si>
  <si>
    <t>admissions@presby.edu</t>
  </si>
  <si>
    <t>Prescott College</t>
  </si>
  <si>
    <t>admissions@prescott.edu</t>
  </si>
  <si>
    <t>Presentation College</t>
  </si>
  <si>
    <t>admit@presentation.edu</t>
  </si>
  <si>
    <t>Princeton University</t>
  </si>
  <si>
    <t>uaoffice@princeton.edu</t>
  </si>
  <si>
    <t>Principia College</t>
  </si>
  <si>
    <t>collegeadmissions@principia.edu</t>
  </si>
  <si>
    <t>Providence College</t>
  </si>
  <si>
    <t>pcadmiss@providence.edu</t>
  </si>
  <si>
    <t>Purdue University Fort Wayne</t>
  </si>
  <si>
    <t>ask@pfw.edu</t>
  </si>
  <si>
    <t>Purdue University Northwest</t>
  </si>
  <si>
    <t>admissions@pnw.edu</t>
  </si>
  <si>
    <t>Queens University Charlotte</t>
  </si>
  <si>
    <t>admissions@queens.edu</t>
  </si>
  <si>
    <t>Quincy University</t>
  </si>
  <si>
    <t>admissions@quincy.edu</t>
  </si>
  <si>
    <t>Quinnipiac University</t>
  </si>
  <si>
    <t>admissions@qu.edu</t>
  </si>
  <si>
    <t>Radford University</t>
  </si>
  <si>
    <t>admissions@radford.edu</t>
  </si>
  <si>
    <t>Ramapo College New Jersey</t>
  </si>
  <si>
    <t>admissions@ramapo.edu</t>
  </si>
  <si>
    <t>Randolph College</t>
  </si>
  <si>
    <t>admissions@randolphcollege.edu</t>
  </si>
  <si>
    <t>Randolph Macon College</t>
  </si>
  <si>
    <t>admissions@rmc.edu</t>
  </si>
  <si>
    <t>Reed College</t>
  </si>
  <si>
    <t>admission@reed.edu</t>
  </si>
  <si>
    <t>Regent University</t>
  </si>
  <si>
    <t>admissions@regent.edu</t>
  </si>
  <si>
    <t>Regis College</t>
  </si>
  <si>
    <t>admission@regiscollege.edu</t>
  </si>
  <si>
    <t>Regis University</t>
  </si>
  <si>
    <t>ruadmissions@regis.edu</t>
  </si>
  <si>
    <t>Reinhardt University</t>
  </si>
  <si>
    <t>admissions@reinhardt.edu</t>
  </si>
  <si>
    <t>Rensselaer Polytechnic Institute</t>
  </si>
  <si>
    <t>admissions@rpi.edu</t>
  </si>
  <si>
    <t>Research College Of Nursing</t>
  </si>
  <si>
    <t>leslie.burry@researchcollege.edu</t>
  </si>
  <si>
    <t>Resurrection University</t>
  </si>
  <si>
    <t>admissions@resu.edu</t>
  </si>
  <si>
    <t>Rhode Island College</t>
  </si>
  <si>
    <t>admissions@ric.edu</t>
  </si>
  <si>
    <t>Rhode Island School Design</t>
  </si>
  <si>
    <t>admissions@risd.edu</t>
  </si>
  <si>
    <t>Rhodes College</t>
  </si>
  <si>
    <t>dataservices@rhodes.edu</t>
  </si>
  <si>
    <t>Rice University</t>
  </si>
  <si>
    <t>admi@rice.edu</t>
  </si>
  <si>
    <t>Rider University</t>
  </si>
  <si>
    <t>admissions@rider.edu</t>
  </si>
  <si>
    <t>Ringling College Art And Design</t>
  </si>
  <si>
    <t>admissions@ringling.edu</t>
  </si>
  <si>
    <t>Ripon College</t>
  </si>
  <si>
    <t>adminfo@ripon.edu</t>
  </si>
  <si>
    <t>Rivier University</t>
  </si>
  <si>
    <t>admissions@rivier.edu</t>
  </si>
  <si>
    <t>Roanoke College</t>
  </si>
  <si>
    <t>admissions@roanoke.edu</t>
  </si>
  <si>
    <t>Robert Morris University</t>
  </si>
  <si>
    <t>enroll@robertmorris.edu</t>
  </si>
  <si>
    <t>Robert Morris University Pa</t>
  </si>
  <si>
    <t>admissions@rmu.edu</t>
  </si>
  <si>
    <t>Roberts Wesleyan College</t>
  </si>
  <si>
    <t>admissions@roberts.edu</t>
  </si>
  <si>
    <t>Rochester College</t>
  </si>
  <si>
    <t>admissions@rc.edu</t>
  </si>
  <si>
    <t>Rochester Institute Technology</t>
  </si>
  <si>
    <t>admissions@rit.edu</t>
  </si>
  <si>
    <t>Rockford University</t>
  </si>
  <si>
    <t>admissions@rockford.edu</t>
  </si>
  <si>
    <t>Rockhurst University</t>
  </si>
  <si>
    <t>admissions@rockhurst.edu</t>
  </si>
  <si>
    <t>Rocky Mountain College</t>
  </si>
  <si>
    <t>admissions@rocky.edu</t>
  </si>
  <si>
    <t>Rocky Mountain College Of Art And Design</t>
  </si>
  <si>
    <t>admissions@rmcad.edu</t>
  </si>
  <si>
    <t>Roger Williams University</t>
  </si>
  <si>
    <t>admit@rwu.edu</t>
  </si>
  <si>
    <t>Rogers State University</t>
  </si>
  <si>
    <t>admissions@rsu.edu</t>
  </si>
  <si>
    <t>Rollins College</t>
  </si>
  <si>
    <t>admission@rollins.edu</t>
  </si>
  <si>
    <t>Roosevelt University</t>
  </si>
  <si>
    <t>admission@roosevelt.edu</t>
  </si>
  <si>
    <t>Rose Hulman Institute Technology</t>
  </si>
  <si>
    <t>admissions@rose-hulman.edu</t>
  </si>
  <si>
    <t>Rosemont College</t>
  </si>
  <si>
    <t>admissions@rosemont.edu</t>
  </si>
  <si>
    <t>Rowan University</t>
  </si>
  <si>
    <t>admissions@rowan.edu</t>
  </si>
  <si>
    <t>Rush University</t>
  </si>
  <si>
    <t>rmc_admissions@rush.edu</t>
  </si>
  <si>
    <t>Rust College</t>
  </si>
  <si>
    <t>admissions@rustcollege.edu</t>
  </si>
  <si>
    <t>Rutgers The State University Of New Jersey Camden</t>
  </si>
  <si>
    <t>admissions@camden.rutgers.edu</t>
  </si>
  <si>
    <t>Sacred Heart Major Seminary</t>
  </si>
  <si>
    <t>admissions@shms.edu</t>
  </si>
  <si>
    <t>Sacred Heart University</t>
  </si>
  <si>
    <t>enroll@sacredheart.edu</t>
  </si>
  <si>
    <t>Sage Colleges</t>
  </si>
  <si>
    <t>contact@sage.edu</t>
  </si>
  <si>
    <t>Saginaw Valley State University</t>
  </si>
  <si>
    <t>admissions@svsu.edu</t>
  </si>
  <si>
    <t>Sagu American Indian College</t>
  </si>
  <si>
    <t>aicinfo@sagu.edu</t>
  </si>
  <si>
    <t>Saint Anselm College</t>
  </si>
  <si>
    <t>admission@anselm.edu</t>
  </si>
  <si>
    <t>Saint Augustines University</t>
  </si>
  <si>
    <t>admissions@st-aug.edu</t>
  </si>
  <si>
    <t>Saint Francis University</t>
  </si>
  <si>
    <t>admissions@francis.edu</t>
  </si>
  <si>
    <t>Saint Josephs College Maine</t>
  </si>
  <si>
    <t>admissions@sjcme.edu</t>
  </si>
  <si>
    <t>Saint Josephs University</t>
  </si>
  <si>
    <t>admit@sju.edu</t>
  </si>
  <si>
    <t>Saint Leo University</t>
  </si>
  <si>
    <t>admissions@saintleo.edu</t>
  </si>
  <si>
    <t>Saint Louis University</t>
  </si>
  <si>
    <t>admission@slu.edu</t>
  </si>
  <si>
    <t>Saint Martins University</t>
  </si>
  <si>
    <t>admissions@stmartin.edu</t>
  </si>
  <si>
    <t>Saint Mary Woods College</t>
  </si>
  <si>
    <t>admission@smwc.edu</t>
  </si>
  <si>
    <t>Saint Marys College</t>
  </si>
  <si>
    <t>admission@saintmarys.edu</t>
  </si>
  <si>
    <t>Saint Marys College California</t>
  </si>
  <si>
    <t>smcadmit@stmarys-ca.edu</t>
  </si>
  <si>
    <t>Saint Marys University Minnesota</t>
  </si>
  <si>
    <t>admission@smumn.edu</t>
  </si>
  <si>
    <t>Saint Michaels College</t>
  </si>
  <si>
    <t>admission@smcvt.edu</t>
  </si>
  <si>
    <t>Saint Peters University</t>
  </si>
  <si>
    <t>admissions@saintpeters.edu</t>
  </si>
  <si>
    <t>Saint Vincent College</t>
  </si>
  <si>
    <t>admission@stvincent.edu</t>
  </si>
  <si>
    <t>Saint Xavier University</t>
  </si>
  <si>
    <t>admission@sxu.edu</t>
  </si>
  <si>
    <t>Salem College</t>
  </si>
  <si>
    <t>admissions@salem.edu</t>
  </si>
  <si>
    <t>Salem State University</t>
  </si>
  <si>
    <t>admissions@salemstate.edu</t>
  </si>
  <si>
    <t>Salisbury University</t>
  </si>
  <si>
    <t>admissions@salisbury.edu</t>
  </si>
  <si>
    <t>Salve Regina University</t>
  </si>
  <si>
    <t>sruadmis@salve.edu</t>
  </si>
  <si>
    <t>Sam Houston State University</t>
  </si>
  <si>
    <t>admissions@shsu.edu</t>
  </si>
  <si>
    <t>Samford University</t>
  </si>
  <si>
    <t>admission@samford.edu</t>
  </si>
  <si>
    <t>San Diego Christian College</t>
  </si>
  <si>
    <t>admissions@sdcc.edu</t>
  </si>
  <si>
    <t>San Diego State University</t>
  </si>
  <si>
    <t>mcorroflores@sdsu.edu</t>
  </si>
  <si>
    <t>San Francisco Art Institute</t>
  </si>
  <si>
    <t>admissions@sfai.edu</t>
  </si>
  <si>
    <t>San Francisco Conservatory Of Music</t>
  </si>
  <si>
    <t>admit@sfcm.edu</t>
  </si>
  <si>
    <t>San Francisco State University</t>
  </si>
  <si>
    <t>ugadmit@sfsu.edu</t>
  </si>
  <si>
    <t>San Jose State University</t>
  </si>
  <si>
    <t>admissions@sjsu.edu</t>
  </si>
  <si>
    <t>Santa Clara University</t>
  </si>
  <si>
    <t>admission@scu.edu</t>
  </si>
  <si>
    <t>Sarah Lawrence College</t>
  </si>
  <si>
    <t>slcadmit@sarahlawrence.edu</t>
  </si>
  <si>
    <t>Savannah College Art And Design</t>
  </si>
  <si>
    <t>admission@scad.edu</t>
  </si>
  <si>
    <t>Savannah State University</t>
  </si>
  <si>
    <t>admissions@savannahstate.edu</t>
  </si>
  <si>
    <t>School Art Institute Chicago</t>
  </si>
  <si>
    <t>admiss@saic.edu</t>
  </si>
  <si>
    <t>School Of The Museum Of Fine Arts Boston</t>
  </si>
  <si>
    <t>smfaadmissions@tufts.edu</t>
  </si>
  <si>
    <t>School Of Visual Arts</t>
  </si>
  <si>
    <t>admissions@sva.edu</t>
  </si>
  <si>
    <t>Schreiner University</t>
  </si>
  <si>
    <t>admissions@schreiner.edu</t>
  </si>
  <si>
    <t>Scripps College</t>
  </si>
  <si>
    <t>admission@scrippscollege.edu</t>
  </si>
  <si>
    <t>Seattle Pacific University</t>
  </si>
  <si>
    <t>admissions@spu.edu</t>
  </si>
  <si>
    <t>Seattle University</t>
  </si>
  <si>
    <t>admissions@seattleu.edu</t>
  </si>
  <si>
    <t>Seton Hall University</t>
  </si>
  <si>
    <t>thehall@shu.edu</t>
  </si>
  <si>
    <t>Seton Hill University</t>
  </si>
  <si>
    <t>admit@setonhill.edu</t>
  </si>
  <si>
    <t>Sewanee</t>
  </si>
  <si>
    <t>admiss@sewanee.edu</t>
  </si>
  <si>
    <t>Shasta Bible College And Graduate School</t>
  </si>
  <si>
    <t>admissions@shasta.edu</t>
  </si>
  <si>
    <t>Shaw University</t>
  </si>
  <si>
    <t>admissions@shawu.edu</t>
  </si>
  <si>
    <t>Shawnee State University</t>
  </si>
  <si>
    <t>to_ssu@shawnee.edu</t>
  </si>
  <si>
    <t>Shenandoah University</t>
  </si>
  <si>
    <t>admit@su.edu</t>
  </si>
  <si>
    <t>Shepherd University</t>
  </si>
  <si>
    <t>admission@shepherd.edu</t>
  </si>
  <si>
    <t>Shippensburg University Of Pennsylvania</t>
  </si>
  <si>
    <t>admiss@ship.edu</t>
  </si>
  <si>
    <t>Shorter University</t>
  </si>
  <si>
    <t>admissions@shorter.edu</t>
  </si>
  <si>
    <t>Siena College</t>
  </si>
  <si>
    <t>admissions@siena.edu</t>
  </si>
  <si>
    <t>Siena Heights University</t>
  </si>
  <si>
    <t>admissions@sienaheights.edu</t>
  </si>
  <si>
    <t>Sierra Nevada College</t>
  </si>
  <si>
    <t>admissions@sierranevada.edu</t>
  </si>
  <si>
    <t>Silver Lake College</t>
  </si>
  <si>
    <t>admslc@sl.edu</t>
  </si>
  <si>
    <t>Simmons University</t>
  </si>
  <si>
    <t>ugadm@simmons.edu</t>
  </si>
  <si>
    <t>Simpson College</t>
  </si>
  <si>
    <t>admiss@simpson.edu</t>
  </si>
  <si>
    <t>Simpson University</t>
  </si>
  <si>
    <t>admissions@simpsonu.edu</t>
  </si>
  <si>
    <t>Skidmore College</t>
  </si>
  <si>
    <t>admissions@skidmore.edu</t>
  </si>
  <si>
    <t>Slippery Rock University Of Pennsylvania</t>
  </si>
  <si>
    <t>asktherock@sru.edu</t>
  </si>
  <si>
    <t>Smith College</t>
  </si>
  <si>
    <t>admission@smith.edu</t>
  </si>
  <si>
    <t>Soka University of America</t>
  </si>
  <si>
    <t>admission@soka.edu</t>
  </si>
  <si>
    <t>Sonoma State University</t>
  </si>
  <si>
    <t>student.outreach@sonoma.edu</t>
  </si>
  <si>
    <t>South Carolina State University</t>
  </si>
  <si>
    <t>admissions@scsu.edu</t>
  </si>
  <si>
    <t>South Dakota School Of Mines And Technology</t>
  </si>
  <si>
    <t>admissions@sdsmt.edu</t>
  </si>
  <si>
    <t>South Dakota State University</t>
  </si>
  <si>
    <t>sdsu.admissions@sdstate.edu</t>
  </si>
  <si>
    <t>Southeast Missouri State University</t>
  </si>
  <si>
    <t>admissions@semo.edu</t>
  </si>
  <si>
    <t>Southeastern Baptist Theological Seminary</t>
  </si>
  <si>
    <t>admissions@sebts.edu</t>
  </si>
  <si>
    <t>Southeastern Louisiana University</t>
  </si>
  <si>
    <t>admissions@southeastern.edu</t>
  </si>
  <si>
    <t>Southeastern Oklahoma State University</t>
  </si>
  <si>
    <t>admissions@se.edu</t>
  </si>
  <si>
    <t>Southeastern University</t>
  </si>
  <si>
    <t>admission@seu.edu</t>
  </si>
  <si>
    <t>Southern Adventist University</t>
  </si>
  <si>
    <t>admissions@southern.edu</t>
  </si>
  <si>
    <t>Southern Arkansas University</t>
  </si>
  <si>
    <t>muleriders@saumag.edu</t>
  </si>
  <si>
    <t>Southern California Institute of Architecture</t>
  </si>
  <si>
    <t>admissions@sciarc.edu</t>
  </si>
  <si>
    <t>Southern Connecticut State University</t>
  </si>
  <si>
    <t>admissions@southernct.edu</t>
  </si>
  <si>
    <t>Southern Illinois University Carbondale</t>
  </si>
  <si>
    <t>admissions@siu.edu</t>
  </si>
  <si>
    <t>Southern Illinois University Edwardsville</t>
  </si>
  <si>
    <t>admissions@siue.edu</t>
  </si>
  <si>
    <t>Southern Methodist University</t>
  </si>
  <si>
    <t>ugadmission@smu.edu</t>
  </si>
  <si>
    <t>Southern Nazarene University</t>
  </si>
  <si>
    <t>admissions@snu.edu</t>
  </si>
  <si>
    <t>Southern New Hampshire University</t>
  </si>
  <si>
    <t>admission@snhu.edu</t>
  </si>
  <si>
    <t>Southern Oregon University</t>
  </si>
  <si>
    <t>admissions@sou.edu</t>
  </si>
  <si>
    <t>Southern University And Am College</t>
  </si>
  <si>
    <t>admit@subr.edu</t>
  </si>
  <si>
    <t>Southern University At New Orleans</t>
  </si>
  <si>
    <t>lgarrett@suno.edu</t>
  </si>
  <si>
    <t>Southern Utah University</t>
  </si>
  <si>
    <t>adminfo@suu.edu</t>
  </si>
  <si>
    <t>Southern Vermont College</t>
  </si>
  <si>
    <t>admissions@svc.edu</t>
  </si>
  <si>
    <t>Southern Virginia University</t>
  </si>
  <si>
    <t>admissions@svu.edu</t>
  </si>
  <si>
    <t>Southern Wesleyan University</t>
  </si>
  <si>
    <t>admissions@swu.edu</t>
  </si>
  <si>
    <t>Southwest Baptist University</t>
  </si>
  <si>
    <t>admissions@sbuniv.edu</t>
  </si>
  <si>
    <t>Southwest Minnesota State University</t>
  </si>
  <si>
    <t>smsu.admissions@smsu.edu</t>
  </si>
  <si>
    <t>Southwest University Of Visual Arts</t>
  </si>
  <si>
    <t>admissions@suva.edu</t>
  </si>
  <si>
    <t>Southwestern Adventist University</t>
  </si>
  <si>
    <t>admissions@swau.edu</t>
  </si>
  <si>
    <t>Southwestern Christian University</t>
  </si>
  <si>
    <t>admissions@swcu.edu</t>
  </si>
  <si>
    <t>Southwestern College</t>
  </si>
  <si>
    <t>scadmit@sckans.edu</t>
  </si>
  <si>
    <t>Southwestern Oklahoma State University</t>
  </si>
  <si>
    <t>admissions@swosu.edu</t>
  </si>
  <si>
    <t>Southwestern University</t>
  </si>
  <si>
    <t>admission@southwestern.edu</t>
  </si>
  <si>
    <t>Spalding University</t>
  </si>
  <si>
    <t>admissions@spalding.edu</t>
  </si>
  <si>
    <t>Spelman College</t>
  </si>
  <si>
    <t>admissions@spelman.edu</t>
  </si>
  <si>
    <t>Spring Arbor University</t>
  </si>
  <si>
    <t>admissions@arbor.edu</t>
  </si>
  <si>
    <t>Spring Hill College</t>
  </si>
  <si>
    <t>admit@shc.edu</t>
  </si>
  <si>
    <t>Springfield College</t>
  </si>
  <si>
    <t>admissions@springfieldcollege.edu</t>
  </si>
  <si>
    <t>St Ambrose University</t>
  </si>
  <si>
    <t>admit@sau.edu</t>
  </si>
  <si>
    <t>St Andrews University</t>
  </si>
  <si>
    <t>admissions@sa.edu</t>
  </si>
  <si>
    <t>St Anthony College Of Nursing</t>
  </si>
  <si>
    <t>admissions@sacn.edu</t>
  </si>
  <si>
    <t>St Bonaventure University</t>
  </si>
  <si>
    <t>admissions@sbu.edu</t>
  </si>
  <si>
    <t>St Catherine University</t>
  </si>
  <si>
    <t>admissions@stkate.edu</t>
  </si>
  <si>
    <t>St Cloud State University</t>
  </si>
  <si>
    <t>scsu4u@stcloudstate.edu</t>
  </si>
  <si>
    <t>St Edwards University</t>
  </si>
  <si>
    <t>seu.admit@stedwards.edu</t>
  </si>
  <si>
    <t>St Francis College</t>
  </si>
  <si>
    <t>admissions@sfc.edu</t>
  </si>
  <si>
    <t>St Francis Medical Center College Of Nursing</t>
  </si>
  <si>
    <t>conadmissions@osfhealthcare.org</t>
  </si>
  <si>
    <t>St John Fisher College</t>
  </si>
  <si>
    <t>admissions@sjfc.edu</t>
  </si>
  <si>
    <t>St Johns College</t>
  </si>
  <si>
    <t>annapolis.admissions@sjc.edu</t>
  </si>
  <si>
    <t>St Johns University</t>
  </si>
  <si>
    <t>admhelp@stjohns.edu</t>
  </si>
  <si>
    <t>St Josephs College Brooklyn</t>
  </si>
  <si>
    <t>brooklynas@sjcny.edu</t>
  </si>
  <si>
    <t>St Lawrence University</t>
  </si>
  <si>
    <t>admissions@stlawu.edu</t>
  </si>
  <si>
    <t>St Louis Christian College</t>
  </si>
  <si>
    <t>admissions@stlchristian.edu</t>
  </si>
  <si>
    <t>St Louis College Pharmacy</t>
  </si>
  <si>
    <t>admissions@stlcop.edu</t>
  </si>
  <si>
    <t>St Marys College</t>
  </si>
  <si>
    <t>admissions@smcm.edu</t>
  </si>
  <si>
    <t>St Marys University Of San Antonio</t>
  </si>
  <si>
    <t>uadm@stmarytx.edu</t>
  </si>
  <si>
    <t>St Norbert College</t>
  </si>
  <si>
    <t>admit@snc.edu</t>
  </si>
  <si>
    <t>St Olaf College</t>
  </si>
  <si>
    <t>admissions@stolaf.edu</t>
  </si>
  <si>
    <t>St Petersburg College</t>
  </si>
  <si>
    <t>information@spcollege.edu</t>
  </si>
  <si>
    <t>St Thomas Aquinas College</t>
  </si>
  <si>
    <t>admissions@stac.edu</t>
  </si>
  <si>
    <t>St Thomas University</t>
  </si>
  <si>
    <t>signup@stu.edu</t>
  </si>
  <si>
    <t>Stanford University</t>
  </si>
  <si>
    <t>admission@stanford.edu</t>
  </si>
  <si>
    <t>Stephen F Austin State University</t>
  </si>
  <si>
    <t>admissions@sfasu.edu</t>
  </si>
  <si>
    <t>Stephens College</t>
  </si>
  <si>
    <t>apply@stephens.edu</t>
  </si>
  <si>
    <t>Sterling College</t>
  </si>
  <si>
    <t>admission@sterlingcollege.edu</t>
  </si>
  <si>
    <t>admissions@sterling.edu</t>
  </si>
  <si>
    <t>Stetson University</t>
  </si>
  <si>
    <t>admissions@stetson.edu</t>
  </si>
  <si>
    <t>Stevens Institute Technology</t>
  </si>
  <si>
    <t>admissions@stevens.edu</t>
  </si>
  <si>
    <t>Stevenson University</t>
  </si>
  <si>
    <t>admissions@stevenson.edu</t>
  </si>
  <si>
    <t>Stillman College</t>
  </si>
  <si>
    <t>admissions@stillman.edu</t>
  </si>
  <si>
    <t>Stockton University</t>
  </si>
  <si>
    <t>admissions@stockton.edu</t>
  </si>
  <si>
    <t>Stonehill College</t>
  </si>
  <si>
    <t>admission@stonehill.edu</t>
  </si>
  <si>
    <t>Suffolk University</t>
  </si>
  <si>
    <t>admission@suffolk.edu</t>
  </si>
  <si>
    <t>Sul Ross State University</t>
  </si>
  <si>
    <t>admissions@sulross.edu</t>
  </si>
  <si>
    <t>Sungkyunkwan University</t>
  </si>
  <si>
    <t>undergrad@skku.edu</t>
  </si>
  <si>
    <t>Suny Alfred State College</t>
  </si>
  <si>
    <t>admissions@alfredstate.edu</t>
  </si>
  <si>
    <t>Suny Binghamton University</t>
  </si>
  <si>
    <t>admit@binghamton.edu</t>
  </si>
  <si>
    <t>Suny Buffalo State College</t>
  </si>
  <si>
    <t>admissions@buffalostate.edu</t>
  </si>
  <si>
    <t>Suny Cobleskill</t>
  </si>
  <si>
    <t>admissions@cobleskill.edu</t>
  </si>
  <si>
    <t>Suny College Brockport</t>
  </si>
  <si>
    <t>admit@brockport.edu</t>
  </si>
  <si>
    <t>Suny College Environmental Science Forestry</t>
  </si>
  <si>
    <t>esfinfo@esf.edu</t>
  </si>
  <si>
    <t>Suny College Geneseo</t>
  </si>
  <si>
    <t>admissions@geneseo.edu</t>
  </si>
  <si>
    <t>Suny College Old Westbury</t>
  </si>
  <si>
    <t>enroll@oldwestbury.edu</t>
  </si>
  <si>
    <t>Suny College Oneonta</t>
  </si>
  <si>
    <t>admissions@oneonta.edu</t>
  </si>
  <si>
    <t>Suny College Technology Canton</t>
  </si>
  <si>
    <t>admissions@canton.edu</t>
  </si>
  <si>
    <t>Suny Cortland</t>
  </si>
  <si>
    <t>admissions@cortland.edu</t>
  </si>
  <si>
    <t>Suny Delhi</t>
  </si>
  <si>
    <t>enroll@delhi.edu</t>
  </si>
  <si>
    <t>Suny Empire State College</t>
  </si>
  <si>
    <t>admissions@esc.edu</t>
  </si>
  <si>
    <t>Suny Farmingdale State College</t>
  </si>
  <si>
    <t>admissions@farmingdale.edu</t>
  </si>
  <si>
    <t>Suny Fredonia</t>
  </si>
  <si>
    <t>admissions@fredonia.edu</t>
  </si>
  <si>
    <t>Suny Maritime College</t>
  </si>
  <si>
    <t>admissions@sunymaritime.edu</t>
  </si>
  <si>
    <t>Suny Morrisville State College</t>
  </si>
  <si>
    <t>admissions@morrisville.edu</t>
  </si>
  <si>
    <t>Suny New Paltz</t>
  </si>
  <si>
    <t>admissions@newpaltz.edu</t>
  </si>
  <si>
    <t>Suny Oswego</t>
  </si>
  <si>
    <t>admiss@oswego.edu</t>
  </si>
  <si>
    <t>Suny Plattsburgh</t>
  </si>
  <si>
    <t>admissions@plattsburgh.edu</t>
  </si>
  <si>
    <t>Suny Polytechnic Institute</t>
  </si>
  <si>
    <t>admissions@sunyit.edu</t>
  </si>
  <si>
    <t>Suny Potsdam</t>
  </si>
  <si>
    <t>admissions@potsdam.edu</t>
  </si>
  <si>
    <t>Suny Purchase College</t>
  </si>
  <si>
    <t>admissions@purchase.edu</t>
  </si>
  <si>
    <t>Suny Stony Brook University</t>
  </si>
  <si>
    <t>enroll@stonybrook.edu</t>
  </si>
  <si>
    <t>Suny University Albany</t>
  </si>
  <si>
    <t>ugadmissions@albany.edu</t>
  </si>
  <si>
    <t>Suny University Buffalo</t>
  </si>
  <si>
    <t>ub-admissions@buffalo.edu</t>
  </si>
  <si>
    <t>Susquehanna University</t>
  </si>
  <si>
    <t>suadmiss@susqu.edu</t>
  </si>
  <si>
    <t>Swarthmore College</t>
  </si>
  <si>
    <t>admissions@swarthmore.edu</t>
  </si>
  <si>
    <t>Sweet Briar College</t>
  </si>
  <si>
    <t>admissions@sbc.edu</t>
  </si>
  <si>
    <t>Syracuse University</t>
  </si>
  <si>
    <t>orange@syr.edu</t>
  </si>
  <si>
    <t>Tabor College</t>
  </si>
  <si>
    <t>admissions@tabor.edu</t>
  </si>
  <si>
    <t>Talladega College</t>
  </si>
  <si>
    <t>admissions@talladega.edu</t>
  </si>
  <si>
    <t>Tarleton State University</t>
  </si>
  <si>
    <t>uadm@tarleton.edu</t>
  </si>
  <si>
    <t>Taylor University</t>
  </si>
  <si>
    <t>admissions@taylor.edu</t>
  </si>
  <si>
    <t>Temple University</t>
  </si>
  <si>
    <t>tuadm@temple.edu</t>
  </si>
  <si>
    <t>Tennessee State University</t>
  </si>
  <si>
    <t>admissions@tnstate.edu</t>
  </si>
  <si>
    <t>Tennessee Technological University</t>
  </si>
  <si>
    <t>admissions@tntech.edu</t>
  </si>
  <si>
    <t>Tennessee Wesleyan University</t>
  </si>
  <si>
    <t>admissions@tnwesleyan.edu</t>
  </si>
  <si>
    <t>Texas Am International University</t>
  </si>
  <si>
    <t>adms@tamiu.edu</t>
  </si>
  <si>
    <t>Texas Am University College Station</t>
  </si>
  <si>
    <t>marcomm@tamu.edu</t>
  </si>
  <si>
    <t>Texas Am University Commerce</t>
  </si>
  <si>
    <t>admissions@tamuc.edu</t>
  </si>
  <si>
    <t>Texas Am University Corpus Christi</t>
  </si>
  <si>
    <t>admiss@tamucc.edu</t>
  </si>
  <si>
    <t>Texas Am University Kingsville</t>
  </si>
  <si>
    <t>admissions@tamuk.edu</t>
  </si>
  <si>
    <t>Texas Am University Texarkana</t>
  </si>
  <si>
    <t>admissions@tamut.edu</t>
  </si>
  <si>
    <t>Texas Christian University</t>
  </si>
  <si>
    <t>frogmail@tcu.edu</t>
  </si>
  <si>
    <t>Texas College</t>
  </si>
  <si>
    <t>admissions@texascollege.edu</t>
  </si>
  <si>
    <t>Texas Lutheran University</t>
  </si>
  <si>
    <t>applicant@tlu.edu</t>
  </si>
  <si>
    <t>Texas Southern University</t>
  </si>
  <si>
    <t>admissions@tsu.edu</t>
  </si>
  <si>
    <t>Texas State University</t>
  </si>
  <si>
    <t>admissions@txstate.edu</t>
  </si>
  <si>
    <t>Texas Tech University</t>
  </si>
  <si>
    <t>admissions@ttu.edu</t>
  </si>
  <si>
    <t>Texas University Of The Rio Grande Valley</t>
  </si>
  <si>
    <t>admissions@utrgv.edu</t>
  </si>
  <si>
    <t>Texas Wesleyan University</t>
  </si>
  <si>
    <t>admissions@txwes.edu</t>
  </si>
  <si>
    <t>Texas Womans University</t>
  </si>
  <si>
    <t>admissions@twu.edu</t>
  </si>
  <si>
    <t>The American College Of Greece</t>
  </si>
  <si>
    <t>admissions@acg.edu</t>
  </si>
  <si>
    <t>The American University In Cairo</t>
  </si>
  <si>
    <t>enrolauc@aucegypt.edu</t>
  </si>
  <si>
    <t>The Citadel</t>
  </si>
  <si>
    <t>admissions@citadel.edu</t>
  </si>
  <si>
    <t>The Kings College</t>
  </si>
  <si>
    <t>admissions@tkc.edu</t>
  </si>
  <si>
    <t>The Masters University And Seminary</t>
  </si>
  <si>
    <t>admissions@masters.edu</t>
  </si>
  <si>
    <t>The University Of Alabama</t>
  </si>
  <si>
    <t>admissions@ua.edu</t>
  </si>
  <si>
    <t>The University Of Alabama Huntsville</t>
  </si>
  <si>
    <t>uahadmissions@uah.edu</t>
  </si>
  <si>
    <t>The University Of Montana</t>
  </si>
  <si>
    <t>admiss@umontana.edu</t>
  </si>
  <si>
    <t>The University Of Montana Western</t>
  </si>
  <si>
    <t>admissions@umwestern.edu</t>
  </si>
  <si>
    <t>The University Of Mount Olive</t>
  </si>
  <si>
    <t>admissions@umo.edu</t>
  </si>
  <si>
    <t>The University Of New Mexico</t>
  </si>
  <si>
    <t>apply@unm.edu</t>
  </si>
  <si>
    <t>The University Of Texas Of The Permian Basin</t>
  </si>
  <si>
    <t>admissions@utpb.edu</t>
  </si>
  <si>
    <t>The University Of The Arts</t>
  </si>
  <si>
    <t>admissions@uarts.edu</t>
  </si>
  <si>
    <t>The University Of Utah</t>
  </si>
  <si>
    <t>admissions@utah.edu</t>
  </si>
  <si>
    <t>Thiel College</t>
  </si>
  <si>
    <t>admissions@thiel.edu</t>
  </si>
  <si>
    <t>Thomas Aquinas College</t>
  </si>
  <si>
    <t>admissions@thomasaquinas.edu</t>
  </si>
  <si>
    <t>Thomas College</t>
  </si>
  <si>
    <t>admiss@thomas.edu</t>
  </si>
  <si>
    <t>Thomas Edison State University</t>
  </si>
  <si>
    <t>admissions@tesu.edu</t>
  </si>
  <si>
    <t>Thomas More College</t>
  </si>
  <si>
    <t>admissions@thomasmore.edu</t>
  </si>
  <si>
    <t>Thomas University</t>
  </si>
  <si>
    <t>rgagliano@thomasu.edu</t>
  </si>
  <si>
    <t>Tiffin University</t>
  </si>
  <si>
    <t>admiss@tiffin.edu</t>
  </si>
  <si>
    <t>Toccoa Falls College</t>
  </si>
  <si>
    <t>admissions@tfc.edu</t>
  </si>
  <si>
    <t>Tougaloo College</t>
  </si>
  <si>
    <t>admissions@tougaloo.edu</t>
  </si>
  <si>
    <t>Touro College</t>
  </si>
  <si>
    <t>lasadmit@adminm.touro.edu</t>
  </si>
  <si>
    <t>Towson University</t>
  </si>
  <si>
    <t>admissions@towson.edu</t>
  </si>
  <si>
    <t>Transylvania University</t>
  </si>
  <si>
    <t>admissions@transy.edu</t>
  </si>
  <si>
    <t>Trevecca Nazarene University</t>
  </si>
  <si>
    <t>admissions_und@trevecca.edu</t>
  </si>
  <si>
    <t>Trine University</t>
  </si>
  <si>
    <t>admit@trine.edu</t>
  </si>
  <si>
    <t>Trinity Baptist College</t>
  </si>
  <si>
    <t>admissions@tbc.edu</t>
  </si>
  <si>
    <t>Trinity Christian College</t>
  </si>
  <si>
    <t>admissions@trnty.edu</t>
  </si>
  <si>
    <t>Trinity College</t>
  </si>
  <si>
    <t>admissions.office@trincoll.edu</t>
  </si>
  <si>
    <t>Trinity College Of Florida</t>
  </si>
  <si>
    <t>admissions@trinitycollege.edu</t>
  </si>
  <si>
    <t>Trinity College Of Nursing Health Sciences</t>
  </si>
  <si>
    <t>lori.perez@trinitycollegeqc.edu</t>
  </si>
  <si>
    <t>Trinity International University</t>
  </si>
  <si>
    <t>admissions@tiu.edu</t>
  </si>
  <si>
    <t>Trinity University</t>
  </si>
  <si>
    <t>admissions@trinity.edu</t>
  </si>
  <si>
    <t>Trinity Washington University</t>
  </si>
  <si>
    <t>admissions@trinitydc.edu</t>
  </si>
  <si>
    <t>Troy University</t>
  </si>
  <si>
    <t>admit@troy.edu</t>
  </si>
  <si>
    <t>Truett Mcconnell University</t>
  </si>
  <si>
    <t>admissions@truett.edu</t>
  </si>
  <si>
    <t>Truman State University</t>
  </si>
  <si>
    <t>admissions@truman.edu</t>
  </si>
  <si>
    <t>Tulane University</t>
  </si>
  <si>
    <t>undergrad.admission@tulane.edu</t>
  </si>
  <si>
    <t>Tusculum College</t>
  </si>
  <si>
    <t>admissions@tusculum.edu</t>
  </si>
  <si>
    <t>Tuskegee University</t>
  </si>
  <si>
    <t>admissions@mytu.tuskegee.edu</t>
  </si>
  <si>
    <t>Union College</t>
  </si>
  <si>
    <t>admissions@union.edu</t>
  </si>
  <si>
    <t>enrollme@unionky.edu</t>
  </si>
  <si>
    <t>ucenroll@ucollege.edu</t>
  </si>
  <si>
    <t>Union Institute University</t>
  </si>
  <si>
    <t>admissions@myunion.edu</t>
  </si>
  <si>
    <t>Union University</t>
  </si>
  <si>
    <t>info@uu.edu</t>
  </si>
  <si>
    <t>United States Air Force Academy</t>
  </si>
  <si>
    <t>rr_webmail@usafa.edu</t>
  </si>
  <si>
    <t>United States Coast Guard Academy</t>
  </si>
  <si>
    <t>admissions@uscga.edu</t>
  </si>
  <si>
    <t>United States Merchant Marine Academy</t>
  </si>
  <si>
    <t>admissions@usmma.edu</t>
  </si>
  <si>
    <t>United States Military Academy</t>
  </si>
  <si>
    <t>admissions-info@usma.edu</t>
  </si>
  <si>
    <t>United States Naval Academy</t>
  </si>
  <si>
    <t>inquire@usna.edu</t>
  </si>
  <si>
    <t>Unity College</t>
  </si>
  <si>
    <t>admissions@unity.edu</t>
  </si>
  <si>
    <t>Universidad Adventista De Las Antillas</t>
  </si>
  <si>
    <t>admissions@uaa.edu</t>
  </si>
  <si>
    <t>Universidad Del Este Une</t>
  </si>
  <si>
    <t>ue_rfuentes@suagm.edu</t>
  </si>
  <si>
    <t>Universidad Del Sagrado Corazon</t>
  </si>
  <si>
    <t>kcastillo@sagrado.edu</t>
  </si>
  <si>
    <t>University Of Advancing Technology</t>
  </si>
  <si>
    <t>admissions@uat.edu</t>
  </si>
  <si>
    <t>University Of Akron Main Campus</t>
  </si>
  <si>
    <t>admissions@uakron.edu</t>
  </si>
  <si>
    <t>University Of Alabama Birmingham Uab</t>
  </si>
  <si>
    <t>chooseuab@uab.edu</t>
  </si>
  <si>
    <t>University Of Alaska Anchorage</t>
  </si>
  <si>
    <t>admissions@alaska.edu</t>
  </si>
  <si>
    <t>University Of Alaska Fairbanks</t>
  </si>
  <si>
    <t>admissions@uaf.edu</t>
  </si>
  <si>
    <t>University Of Arizona</t>
  </si>
  <si>
    <t>admissions@arizona.edu</t>
  </si>
  <si>
    <t>University Of Arkansas</t>
  </si>
  <si>
    <t>uofa@uark.edu</t>
  </si>
  <si>
    <t>University Of Arkansas At Fort Smith</t>
  </si>
  <si>
    <t>admissions@uafs.edu</t>
  </si>
  <si>
    <t>University Of Arkansas At Little Rock</t>
  </si>
  <si>
    <t>admissions@ualr.edu</t>
  </si>
  <si>
    <t>University Of Arkansas At Monticello</t>
  </si>
  <si>
    <t>admissions@uamont.edu</t>
  </si>
  <si>
    <t>University Of Arkansas At Pine Bluff</t>
  </si>
  <si>
    <t>owasoyop@uapb.edu</t>
  </si>
  <si>
    <t>University Of Baltimore</t>
  </si>
  <si>
    <t>admissions@ubalt.edu</t>
  </si>
  <si>
    <t>University Of Bridgeport</t>
  </si>
  <si>
    <t>admit@bridgeport.edu</t>
  </si>
  <si>
    <t>University Of California At Merced</t>
  </si>
  <si>
    <t>admissions@ucmerced.edu</t>
  </si>
  <si>
    <t>University Of California Davis</t>
  </si>
  <si>
    <t>undergraduateadmissions@ucdavis.edu</t>
  </si>
  <si>
    <t>University Of California Irvine</t>
  </si>
  <si>
    <t>admissions@uci.edu</t>
  </si>
  <si>
    <t>University Of California Riverside</t>
  </si>
  <si>
    <t>admissions@ucr.edu</t>
  </si>
  <si>
    <t>University Of California Santa Barbara</t>
  </si>
  <si>
    <t>refugia.acosta@sa.ucsb.edu</t>
  </si>
  <si>
    <t>University Of California Santa Cruz</t>
  </si>
  <si>
    <t>admissions@ucsc.edu</t>
  </si>
  <si>
    <t>University Of Central Arkansas</t>
  </si>
  <si>
    <t>admissions@uca.edu</t>
  </si>
  <si>
    <t>University Of Central Florida</t>
  </si>
  <si>
    <t>admissions@ucf.edu</t>
  </si>
  <si>
    <t>University Of Central Missouri</t>
  </si>
  <si>
    <t>admit@ucmo.edu</t>
  </si>
  <si>
    <t>University Of Central Oklahoma</t>
  </si>
  <si>
    <t>onestop@uco.edu</t>
  </si>
  <si>
    <t>University Of Charleston</t>
  </si>
  <si>
    <t>admissions@ucwv.edu</t>
  </si>
  <si>
    <t>University Of Chicago</t>
  </si>
  <si>
    <t>collegeadmissions@uchicago.edu</t>
  </si>
  <si>
    <t>University Of Cincinnati</t>
  </si>
  <si>
    <t>admissions@uc.edu</t>
  </si>
  <si>
    <t>University Of Cincinnati Blue Ash College And Clermont College</t>
  </si>
  <si>
    <t>admissions@ucblueash.edu</t>
  </si>
  <si>
    <t>University Of Colorado Boulder</t>
  </si>
  <si>
    <t>admissions@colorado.edu</t>
  </si>
  <si>
    <t>University Of Colorado Colorado Springs</t>
  </si>
  <si>
    <t>go@uccs.edu</t>
  </si>
  <si>
    <t>University Of Colorado Denver</t>
  </si>
  <si>
    <t>admissions@ucdenver.edu</t>
  </si>
  <si>
    <t>University Of Connecticut</t>
  </si>
  <si>
    <t>beahusky@uconn.edu</t>
  </si>
  <si>
    <t>University Of Dallas</t>
  </si>
  <si>
    <t>crusasder@udallas.edu</t>
  </si>
  <si>
    <t>University Of Dayton</t>
  </si>
  <si>
    <t>admission@udayton.edu</t>
  </si>
  <si>
    <t>University Of Delaware</t>
  </si>
  <si>
    <t>admissions@udel.edu</t>
  </si>
  <si>
    <t>University Of Denver</t>
  </si>
  <si>
    <t>admission@du.edu</t>
  </si>
  <si>
    <t>University Of Detroit Mercy</t>
  </si>
  <si>
    <t>admissions@udmercy.edu</t>
  </si>
  <si>
    <t>University Of Dubuque</t>
  </si>
  <si>
    <t>admssns@dbq.edu</t>
  </si>
  <si>
    <t>University Of Evansville</t>
  </si>
  <si>
    <t>admission@evansville.edu</t>
  </si>
  <si>
    <t>University Of Findlay</t>
  </si>
  <si>
    <t>admissions@findlay.edu</t>
  </si>
  <si>
    <t>University Of Florida</t>
  </si>
  <si>
    <t>webrequests@admissions.ufl.edu</t>
  </si>
  <si>
    <t>University Of Georgia</t>
  </si>
  <si>
    <t>adm-info@uga.edu</t>
  </si>
  <si>
    <t>University Of Guam</t>
  </si>
  <si>
    <t>admitme@triton.uog.edu</t>
  </si>
  <si>
    <t>University Of Hartford</t>
  </si>
  <si>
    <t>admission@hartford.edu</t>
  </si>
  <si>
    <t>University Of Hawaii At Hilo</t>
  </si>
  <si>
    <t>uhhadm@hawaii.edu</t>
  </si>
  <si>
    <t>University Of Holy Cross</t>
  </si>
  <si>
    <t>admissions@uhcno.edu</t>
  </si>
  <si>
    <t>University Of Houston</t>
  </si>
  <si>
    <t>admissions@uh.edu</t>
  </si>
  <si>
    <t>University Of Houston Clear Lake</t>
  </si>
  <si>
    <t>admissions@uhcl.edu</t>
  </si>
  <si>
    <t>University Of Houston Downtown</t>
  </si>
  <si>
    <t>uhdadmit@uhd.edu</t>
  </si>
  <si>
    <t>University Of Houston Victoria</t>
  </si>
  <si>
    <t>admissions@uhv.edu</t>
  </si>
  <si>
    <t>University Of Idaho</t>
  </si>
  <si>
    <t>admissions@uidaho.edu</t>
  </si>
  <si>
    <t>University Of Illinois At Chicago</t>
  </si>
  <si>
    <t>admit@uic.edu</t>
  </si>
  <si>
    <t>University Of Illinois Springfield</t>
  </si>
  <si>
    <t>admissions@uis.edu</t>
  </si>
  <si>
    <t>University Of Indianapolis</t>
  </si>
  <si>
    <t>admissions@uindy.edu</t>
  </si>
  <si>
    <t>University Of Iowa</t>
  </si>
  <si>
    <t>admissions@uiowa.edu</t>
  </si>
  <si>
    <t>University Of Jamestown</t>
  </si>
  <si>
    <t>admissions@uj.edu</t>
  </si>
  <si>
    <t>University Of Kansas</t>
  </si>
  <si>
    <t>admissions@ku.edu</t>
  </si>
  <si>
    <t>University Of Kentucky</t>
  </si>
  <si>
    <t>admissions@uky.edu</t>
  </si>
  <si>
    <t>University Of La Verne</t>
  </si>
  <si>
    <t>admission@laverne.edu</t>
  </si>
  <si>
    <t>University Of Louisiana At Lafayette</t>
  </si>
  <si>
    <t>admissions@louisiana.edu</t>
  </si>
  <si>
    <t>University Of Louisiana At Monroe</t>
  </si>
  <si>
    <t>admissions@ulm.edu</t>
  </si>
  <si>
    <t>University Of Louisville</t>
  </si>
  <si>
    <t>admitme@louisville.edu</t>
  </si>
  <si>
    <t>University Of Lynchburg</t>
  </si>
  <si>
    <t>admissions@lynchburg.edu</t>
  </si>
  <si>
    <t>University Of Maine</t>
  </si>
  <si>
    <t>umaineadmissions@maine.edu</t>
  </si>
  <si>
    <t>University Of Mary</t>
  </si>
  <si>
    <t>enroll@umary.edu</t>
  </si>
  <si>
    <t>University Of Mary Hardin Baylor</t>
  </si>
  <si>
    <t>admission@umhb.edu</t>
  </si>
  <si>
    <t>University Of Mary Washington</t>
  </si>
  <si>
    <t>admit@umw.edu</t>
  </si>
  <si>
    <t>University Of Maryland Baltimore County(r)</t>
  </si>
  <si>
    <t>admissions@umbc.edu</t>
  </si>
  <si>
    <t>University Of Maryland Eastern Shore</t>
  </si>
  <si>
    <t>umesadmissions@umes.edu</t>
  </si>
  <si>
    <t>University Of Maryland University College</t>
  </si>
  <si>
    <t>admissions@umuc.edu</t>
  </si>
  <si>
    <t>University Of Massachusetts Boston</t>
  </si>
  <si>
    <t>enrollment.info@umb.edu</t>
  </si>
  <si>
    <t>University Of Massachusetts Dartmouth</t>
  </si>
  <si>
    <t>admissions@umassd.edu</t>
  </si>
  <si>
    <t>University Of Massachusetts Lowell</t>
  </si>
  <si>
    <t>admissions@uml.edu</t>
  </si>
  <si>
    <t>University Of Memphis</t>
  </si>
  <si>
    <t>recruitment@memphis.edu</t>
  </si>
  <si>
    <t>University Of Miami</t>
  </si>
  <si>
    <t>admission@miami.edu</t>
  </si>
  <si>
    <t>University Of Michigan Dearborn</t>
  </si>
  <si>
    <t>umd-admissions@umich.edu</t>
  </si>
  <si>
    <t>University Of Michigan Flint</t>
  </si>
  <si>
    <t>admissions@umflint.edu</t>
  </si>
  <si>
    <t>University Of Minnesota At Crookston</t>
  </si>
  <si>
    <t>umcinfo@umn.edu</t>
  </si>
  <si>
    <t>University Of Missouri</t>
  </si>
  <si>
    <t>askmizzou@missouri.edu</t>
  </si>
  <si>
    <t>University Of Missouri Kansas City</t>
  </si>
  <si>
    <t>admit@umkc.edu</t>
  </si>
  <si>
    <t>University Of Missouri St Louis</t>
  </si>
  <si>
    <t>admissions@umsl.edu</t>
  </si>
  <si>
    <t>University Of Mobile</t>
  </si>
  <si>
    <t>umenrollment@umobile.edu</t>
  </si>
  <si>
    <t>University Of Montevallo</t>
  </si>
  <si>
    <t>admissions@montevallo.edu</t>
  </si>
  <si>
    <t>University Of Mount Union</t>
  </si>
  <si>
    <t>admission@mountunion.edu</t>
  </si>
  <si>
    <t>University Of Nebraska Kearney</t>
  </si>
  <si>
    <t>admissionsug@unk.edu</t>
  </si>
  <si>
    <t>University Of Nebraska Lincoln</t>
  </si>
  <si>
    <t>admissions@unl.edu</t>
  </si>
  <si>
    <t>University Of Nebraska Omaha</t>
  </si>
  <si>
    <t>unoadmissions@unomaha.edu</t>
  </si>
  <si>
    <t>University Of Nevada Las Vegas Unlv</t>
  </si>
  <si>
    <t>admissions@unlv.edu</t>
  </si>
  <si>
    <t>University Of Nevada Reno</t>
  </si>
  <si>
    <t>asknevada@unr.edu</t>
  </si>
  <si>
    <t>University Of New England</t>
  </si>
  <si>
    <t>admissions@une.edu</t>
  </si>
  <si>
    <t>University Of New Hampshire</t>
  </si>
  <si>
    <t>admissions@unh.edu</t>
  </si>
  <si>
    <t>University Of New Orleans</t>
  </si>
  <si>
    <t>admission@uno.edu</t>
  </si>
  <si>
    <t>University Of North Alabama</t>
  </si>
  <si>
    <t>admissions@una.edu</t>
  </si>
  <si>
    <t>University Of North Carolina Asheville</t>
  </si>
  <si>
    <t>admissions@unca.edu</t>
  </si>
  <si>
    <t>University Of North Carolina At Pembroke</t>
  </si>
  <si>
    <t>admissions@uncp.edu</t>
  </si>
  <si>
    <t>University Of North Carolina Chapel Hill</t>
  </si>
  <si>
    <t>unchelp@admissions.unc.edu</t>
  </si>
  <si>
    <t>University Of North Carolina Charlotte</t>
  </si>
  <si>
    <t>admissions@uncc.edu</t>
  </si>
  <si>
    <t>University Of North Carolina Greensboro</t>
  </si>
  <si>
    <t>admissions@uncg.edu</t>
  </si>
  <si>
    <t>University Of North Carolina School Of The Arts</t>
  </si>
  <si>
    <t>admissions@uncsa.edu</t>
  </si>
  <si>
    <t>University Of North Carolina Wilmington</t>
  </si>
  <si>
    <t>admissions@uncw.edu</t>
  </si>
  <si>
    <t>University Of North Dakota</t>
  </si>
  <si>
    <t>admissions@und.edu</t>
  </si>
  <si>
    <t>University Of North Florida</t>
  </si>
  <si>
    <t>admissions@unf.edu</t>
  </si>
  <si>
    <t>University Of North Georgia</t>
  </si>
  <si>
    <t>admissions-dah@ung.edu</t>
  </si>
  <si>
    <t>University Of North Texas</t>
  </si>
  <si>
    <t>unt.freshman@unt.edu</t>
  </si>
  <si>
    <t>University Of Northern Colorado</t>
  </si>
  <si>
    <t>admissions@unco.edu</t>
  </si>
  <si>
    <t>University Of Northern Iowa(r)</t>
  </si>
  <si>
    <t>admissions@uni.edu</t>
  </si>
  <si>
    <t>University Of Northwestern St Paul</t>
  </si>
  <si>
    <t>admissions@unwsp.edu</t>
  </si>
  <si>
    <t>University Of Notre Dame</t>
  </si>
  <si>
    <t>admissions@nd.edu</t>
  </si>
  <si>
    <t>University Of Oklahoma</t>
  </si>
  <si>
    <t>admissions@ou.edu</t>
  </si>
  <si>
    <t>University Of Oregon</t>
  </si>
  <si>
    <t>uoadmit@uoregon.edu</t>
  </si>
  <si>
    <t>University Of Pacific</t>
  </si>
  <si>
    <t>admission@pacific.edu</t>
  </si>
  <si>
    <t>University Of Pennsylvania</t>
  </si>
  <si>
    <t>info@admissions.upenn.edu</t>
  </si>
  <si>
    <t>University Of Pikeville</t>
  </si>
  <si>
    <t>wewantyou@upike.edu</t>
  </si>
  <si>
    <t>University Of Pittsburgh</t>
  </si>
  <si>
    <t>oafa@pitt.edu</t>
  </si>
  <si>
    <t>University Of Portland</t>
  </si>
  <si>
    <t>admissions@up.edu</t>
  </si>
  <si>
    <t>University Of Providence</t>
  </si>
  <si>
    <t>admissions@uprovidence.edu</t>
  </si>
  <si>
    <t>University Of Puerto Rico Arecibo</t>
  </si>
  <si>
    <t>admisiones.arecibo@upr.edu</t>
  </si>
  <si>
    <t>University Of Puget Sound</t>
  </si>
  <si>
    <t>admission@pugetsound.edu</t>
  </si>
  <si>
    <t>University Of Redlands</t>
  </si>
  <si>
    <t>admissions@redlands.edu</t>
  </si>
  <si>
    <t>University Of Rhode Island</t>
  </si>
  <si>
    <t>admission@uri.edu</t>
  </si>
  <si>
    <t>University Of Richmond</t>
  </si>
  <si>
    <t>admission@richmond.edu</t>
  </si>
  <si>
    <t>University Of Rio Grande</t>
  </si>
  <si>
    <t>admissions@rio.edu</t>
  </si>
  <si>
    <t>University Of Rochester</t>
  </si>
  <si>
    <t>admit@admissions.rochester.edu</t>
  </si>
  <si>
    <t>University Of Saint Francis Fort Wayne Indiana</t>
  </si>
  <si>
    <t>admis@sf.edu</t>
  </si>
  <si>
    <t>University Of Saint Joseph</t>
  </si>
  <si>
    <t>admissions@usj.edu</t>
  </si>
  <si>
    <t>University Of San Diego</t>
  </si>
  <si>
    <t>admissions@sandiego.edu</t>
  </si>
  <si>
    <t>University Of San Francisco</t>
  </si>
  <si>
    <t>admissions@usfca.edu</t>
  </si>
  <si>
    <t>University Of Science And Arts Of Oklahoma</t>
  </si>
  <si>
    <t>usao-admissions@usao.edu</t>
  </si>
  <si>
    <t>University Of Sciences</t>
  </si>
  <si>
    <t>admit@usciences.edu</t>
  </si>
  <si>
    <t>University Of Scranton</t>
  </si>
  <si>
    <t>admissions@scranton.edu</t>
  </si>
  <si>
    <t>University Of Sioux Falls</t>
  </si>
  <si>
    <t>admissions@usiouxfalls.edu</t>
  </si>
  <si>
    <t>University Of South Alabama</t>
  </si>
  <si>
    <t>admiss@southalabama.edu</t>
  </si>
  <si>
    <t>University Of South Carolina Aiken</t>
  </si>
  <si>
    <t>admit@usca.edu</t>
  </si>
  <si>
    <t>University Of South Carolina Beaufort</t>
  </si>
  <si>
    <t>admissions@uscb.edu</t>
  </si>
  <si>
    <t>University Of South Carolina Columbia</t>
  </si>
  <si>
    <t>admissions-ugrad@sc.edu</t>
  </si>
  <si>
    <t>University Of South Carolina Upstate</t>
  </si>
  <si>
    <t>admissions@uscupstate.edu</t>
  </si>
  <si>
    <t>University Of South Dakota</t>
  </si>
  <si>
    <t>admissions@usd.edu</t>
  </si>
  <si>
    <t>University Of South Florida</t>
  </si>
  <si>
    <t>admissions@usf.edu</t>
  </si>
  <si>
    <t>University Of Southern Indiana</t>
  </si>
  <si>
    <t>enroll@usi.edu</t>
  </si>
  <si>
    <t>University Of Southern Mississippi</t>
  </si>
  <si>
    <t>admissions@usm.edu</t>
  </si>
  <si>
    <t>University Of St Francis Il</t>
  </si>
  <si>
    <t>admissions@stfrancis.edu</t>
  </si>
  <si>
    <t>University Of St Mary</t>
  </si>
  <si>
    <t>admiss@stmary.edu</t>
  </si>
  <si>
    <t>University Of St Thomas</t>
  </si>
  <si>
    <t>admissions@stthom.edu</t>
  </si>
  <si>
    <t>University Of St Thomas Mn</t>
  </si>
  <si>
    <t>admissions@stthomas.edu</t>
  </si>
  <si>
    <t>University Of Tampa</t>
  </si>
  <si>
    <t>admissions@ut.edu</t>
  </si>
  <si>
    <t>University Of Tennessee At Chattanooga</t>
  </si>
  <si>
    <t>utcmocs@utc.edu</t>
  </si>
  <si>
    <t>University Of Tennessee At Martin</t>
  </si>
  <si>
    <t>admitme@utm.edu</t>
  </si>
  <si>
    <t>University Of Tennessee Knoxville</t>
  </si>
  <si>
    <t>admissions@utk.edu</t>
  </si>
  <si>
    <t>University Of Texas At Arlington</t>
  </si>
  <si>
    <t>admissions@uta.edu</t>
  </si>
  <si>
    <t>University Of Texas At Dallas</t>
  </si>
  <si>
    <t>interest@utdallas.edu</t>
  </si>
  <si>
    <t>University Of Texas At El Paso</t>
  </si>
  <si>
    <t xml:space="preserve">futureminer@utep.edu </t>
  </si>
  <si>
    <t>University Of Texas At San Antonio</t>
  </si>
  <si>
    <t>prospects@utsa.edu</t>
  </si>
  <si>
    <t>University Of Texas At Tyler</t>
  </si>
  <si>
    <t>admissions@uttyler.edu</t>
  </si>
  <si>
    <t>University Of The Cumberlands</t>
  </si>
  <si>
    <t>admiss@ucumberlands.edu</t>
  </si>
  <si>
    <t>University Of The District Of Columbia</t>
  </si>
  <si>
    <t>udcadmissions@udc.edu</t>
  </si>
  <si>
    <t>University Of The Incarnate Word</t>
  </si>
  <si>
    <t>admis@uiwtx.edu</t>
  </si>
  <si>
    <t>University Of The Ozarks</t>
  </si>
  <si>
    <t>admiss@ozarks.edu</t>
  </si>
  <si>
    <t>University Of The Southwest</t>
  </si>
  <si>
    <t>admission@usw.edu</t>
  </si>
  <si>
    <t>University Of The Virgin Islands</t>
  </si>
  <si>
    <t>admissions@uvi.edu</t>
  </si>
  <si>
    <t>University Of Toledo</t>
  </si>
  <si>
    <t>enroll@utoledo.edu</t>
  </si>
  <si>
    <t>University Of Tulsa</t>
  </si>
  <si>
    <t>admission@utulsa.edu</t>
  </si>
  <si>
    <t>University Of Vermont</t>
  </si>
  <si>
    <t>admissions@uvm.edu</t>
  </si>
  <si>
    <t>University Of Virginia</t>
  </si>
  <si>
    <t>undergradadmission@virginia.edu</t>
  </si>
  <si>
    <t>University Of Virginias College Wise</t>
  </si>
  <si>
    <t>admissions@uvawise.edu</t>
  </si>
  <si>
    <t>University Of Washington Bothell</t>
  </si>
  <si>
    <t>uwbinfo@uw.edu</t>
  </si>
  <si>
    <t>University Of West</t>
  </si>
  <si>
    <t>nadias@uwest.edu</t>
  </si>
  <si>
    <t>University Of West Alabama</t>
  </si>
  <si>
    <t>admissions@uwa.edu</t>
  </si>
  <si>
    <t>University Of West Florida</t>
  </si>
  <si>
    <t>admissions@uwf.edu</t>
  </si>
  <si>
    <t>University Of West Georgia</t>
  </si>
  <si>
    <t>admiss@westga.edu</t>
  </si>
  <si>
    <t>University Of Wisconsin Eau Claire</t>
  </si>
  <si>
    <t>admissions@uwec.edu</t>
  </si>
  <si>
    <t>University Of Wisconsin Green Bay</t>
  </si>
  <si>
    <t>admissions@uwgb.edu</t>
  </si>
  <si>
    <t>University Of Wisconsin La Crosse</t>
  </si>
  <si>
    <t>admissions@uwlax.edu</t>
  </si>
  <si>
    <t>University Of Wisconsin Milwaukee</t>
  </si>
  <si>
    <t>uwmlook@uwm.edu</t>
  </si>
  <si>
    <t>University Of Wisconsin Oshkosh</t>
  </si>
  <si>
    <t>admissions@uwosh.edu</t>
  </si>
  <si>
    <t>University Of Wisconsin Parkside</t>
  </si>
  <si>
    <t>admissions@uwp.edu</t>
  </si>
  <si>
    <t>University Of Wisconsin Platteville</t>
  </si>
  <si>
    <t>admit@uwplatt.edu</t>
  </si>
  <si>
    <t>University Of Wisconsin River Falls</t>
  </si>
  <si>
    <t>admissions@uwrf.edu</t>
  </si>
  <si>
    <t>University Of Wisconsin Stevens Point</t>
  </si>
  <si>
    <t>admiss@uwsp.edu</t>
  </si>
  <si>
    <t>University Of Wisconsin Stout</t>
  </si>
  <si>
    <t>admissions@uwstout.edu</t>
  </si>
  <si>
    <t>University Of Wisconsin Superior</t>
  </si>
  <si>
    <t>admissions@uwsuper.edu</t>
  </si>
  <si>
    <t>University Of Wisconsin Whitewater</t>
  </si>
  <si>
    <t>uwwadmit@uww.edu</t>
  </si>
  <si>
    <t>University Of Wyoming</t>
  </si>
  <si>
    <t>admissions@uwyo.edu</t>
  </si>
  <si>
    <t>Upper Iowa University</t>
  </si>
  <si>
    <t>ADMISSION@uiu.edu</t>
  </si>
  <si>
    <t xml:space="preserve">Urbana University </t>
  </si>
  <si>
    <t>admissions@urbana.edu</t>
  </si>
  <si>
    <t>Ursinus College</t>
  </si>
  <si>
    <t>admission@ursinus.edu</t>
  </si>
  <si>
    <t>Ursuline College</t>
  </si>
  <si>
    <t>admission@ursuline.edu</t>
  </si>
  <si>
    <t>Utah State University</t>
  </si>
  <si>
    <t>admit@usu.edu</t>
  </si>
  <si>
    <t>Utah Valley University</t>
  </si>
  <si>
    <t>admissions@uvu.edu</t>
  </si>
  <si>
    <t>Utica College</t>
  </si>
  <si>
    <t>admiss@utica.edu</t>
  </si>
  <si>
    <t>Valdosta State University</t>
  </si>
  <si>
    <t>admissions@valdosta.edu</t>
  </si>
  <si>
    <t>Valley City State University</t>
  </si>
  <si>
    <t>enrollment.services@vcsu.edu</t>
  </si>
  <si>
    <t>Valparaiso University</t>
  </si>
  <si>
    <t>undergrad.admission@valpo.edu</t>
  </si>
  <si>
    <t>Vanderbilt University</t>
  </si>
  <si>
    <t>admissions@vanderbilt.edu</t>
  </si>
  <si>
    <t>Vandercook College Of Music</t>
  </si>
  <si>
    <t>admissions@vandercook.edu</t>
  </si>
  <si>
    <t>Vanguard University Of Southern California</t>
  </si>
  <si>
    <t>admissions@vanguard.edu</t>
  </si>
  <si>
    <t>Vassar College</t>
  </si>
  <si>
    <t>admissions@vassar.edu</t>
  </si>
  <si>
    <t>Vaughn College Of Aeronautics And Technology</t>
  </si>
  <si>
    <t>admitme@vaughn.edu</t>
  </si>
  <si>
    <t>Vermont Technical College</t>
  </si>
  <si>
    <t>admissions@vtc.edu</t>
  </si>
  <si>
    <t>Villanova University</t>
  </si>
  <si>
    <t>gotovu@villanova.edu</t>
  </si>
  <si>
    <t>Virginia Commonwealth University</t>
  </si>
  <si>
    <t>ugrad@vcu.edu</t>
  </si>
  <si>
    <t>Virginia Military Institute</t>
  </si>
  <si>
    <t>admissions@vmi.edu</t>
  </si>
  <si>
    <t>Virginia Polytechnic Institute And State University</t>
  </si>
  <si>
    <t>admissions@vt.edu</t>
  </si>
  <si>
    <t>Virginia State University</t>
  </si>
  <si>
    <t>admiss@vsu.edu</t>
  </si>
  <si>
    <t>Virginia Union University</t>
  </si>
  <si>
    <t>admissions@vuu.edu</t>
  </si>
  <si>
    <t>Virginia University Of Lynchburg</t>
  </si>
  <si>
    <t>admissions@vul.edu</t>
  </si>
  <si>
    <t>Virginia Wesleyan University</t>
  </si>
  <si>
    <t>admissions@vwu.edu</t>
  </si>
  <si>
    <t>Viterbo University</t>
  </si>
  <si>
    <t>admission@viterbo.edu</t>
  </si>
  <si>
    <t>Voorhees College</t>
  </si>
  <si>
    <t>admissions@voorhees.edu</t>
  </si>
  <si>
    <t>Wabash College</t>
  </si>
  <si>
    <t>admissions@wabash.edu</t>
  </si>
  <si>
    <t>Wagner College</t>
  </si>
  <si>
    <t>admissions@wagner.edu</t>
  </si>
  <si>
    <t>Wake Forest University</t>
  </si>
  <si>
    <t>admissions@wfu.edu</t>
  </si>
  <si>
    <t>Waldorf University</t>
  </si>
  <si>
    <t>admissions@waldorf.edu</t>
  </si>
  <si>
    <t>Walla Walla University</t>
  </si>
  <si>
    <t>admiss1@wallawalla.edu</t>
  </si>
  <si>
    <t>Walsh University</t>
  </si>
  <si>
    <t>admissions@walsh.edu</t>
  </si>
  <si>
    <t>Warner Pacific University</t>
  </si>
  <si>
    <t>admission@warnerpacific.edu</t>
  </si>
  <si>
    <t>Warner University</t>
  </si>
  <si>
    <t>admissions@warner.edu</t>
  </si>
  <si>
    <t>Warren Wilson College</t>
  </si>
  <si>
    <t>admit@warren-wilson.edu</t>
  </si>
  <si>
    <t>Wartburg College</t>
  </si>
  <si>
    <t>admissions@wartburg.edu</t>
  </si>
  <si>
    <t>Washburn University</t>
  </si>
  <si>
    <t>admissions@washburn.edu</t>
  </si>
  <si>
    <t>Washington Adventist University</t>
  </si>
  <si>
    <t>enroll@wau.edu</t>
  </si>
  <si>
    <t>Washington And Lee University</t>
  </si>
  <si>
    <t>admissions@wlu.edu</t>
  </si>
  <si>
    <t>Washington College</t>
  </si>
  <si>
    <t>wc_inquiries@washcoll.edu</t>
  </si>
  <si>
    <t>Washington Jefferson College</t>
  </si>
  <si>
    <t>admission@washjeff.edu</t>
  </si>
  <si>
    <t>Washington State University</t>
  </si>
  <si>
    <t>marcela.pattinson@wsu.edu</t>
  </si>
  <si>
    <t>Washington University of St Louis</t>
  </si>
  <si>
    <t>admissions@wustl.edu</t>
  </si>
  <si>
    <t>Watkins College Art Design Film</t>
  </si>
  <si>
    <t>admissions@watkins.edu</t>
  </si>
  <si>
    <t>Wayland Baptist University</t>
  </si>
  <si>
    <t>admityou@wbu.edu</t>
  </si>
  <si>
    <t>Wayne State College</t>
  </si>
  <si>
    <t>admit1@wsc.edu</t>
  </si>
  <si>
    <t>Wayne State University</t>
  </si>
  <si>
    <t>admissions@wayne.edu</t>
  </si>
  <si>
    <t>Waynesburg University</t>
  </si>
  <si>
    <t>admissions@waynesburg.edu</t>
  </si>
  <si>
    <t>Webb Institute</t>
  </si>
  <si>
    <t>admissions@webb.edu</t>
  </si>
  <si>
    <t>Webber International University</t>
  </si>
  <si>
    <t>admissions@webber.edu</t>
  </si>
  <si>
    <t>Weber State University</t>
  </si>
  <si>
    <t>admissions@weber.edu</t>
  </si>
  <si>
    <t>Webster University</t>
  </si>
  <si>
    <t>admit@webster.edu</t>
  </si>
  <si>
    <t>Welch College</t>
  </si>
  <si>
    <t>recruit@welch.edu</t>
  </si>
  <si>
    <t>Wellesley College</t>
  </si>
  <si>
    <t>admissions@wellesley.edu</t>
  </si>
  <si>
    <t>Wells College</t>
  </si>
  <si>
    <t>admissions@wells.edu</t>
  </si>
  <si>
    <t>Wentworth Institute Technology</t>
  </si>
  <si>
    <t>admissions@wit.edu</t>
  </si>
  <si>
    <t>Wesley College</t>
  </si>
  <si>
    <t>admissions@wesley.edu</t>
  </si>
  <si>
    <t>Wesleyan College</t>
  </si>
  <si>
    <t>admissions@wesleyancollege.edu</t>
  </si>
  <si>
    <t>Wesleyan University</t>
  </si>
  <si>
    <t>admission@wesleyan.edu</t>
  </si>
  <si>
    <t>West Chester University</t>
  </si>
  <si>
    <t>ugadmiss@wcupa.edu</t>
  </si>
  <si>
    <t>West Liberty University</t>
  </si>
  <si>
    <t>admissions@westliberty.edu</t>
  </si>
  <si>
    <t>West Texas Am University</t>
  </si>
  <si>
    <t>admissions@wtamu.edu</t>
  </si>
  <si>
    <t>West Virginia State University</t>
  </si>
  <si>
    <t>admissions@wvstateu.edu</t>
  </si>
  <si>
    <t>West Virginia University</t>
  </si>
  <si>
    <t>wvuadmissions@mail.wvu.edu</t>
  </si>
  <si>
    <t>West Virginia University Parkersburg</t>
  </si>
  <si>
    <t>admissions@wvup.edu</t>
  </si>
  <si>
    <t>West Virginia Wesleyan College</t>
  </si>
  <si>
    <t>admissions@wvwc.edu</t>
  </si>
  <si>
    <t>Western Carolina University</t>
  </si>
  <si>
    <t>admiss@wcu.edu</t>
  </si>
  <si>
    <t>Western Connecticut State University</t>
  </si>
  <si>
    <t>admissions@wcsu.edu</t>
  </si>
  <si>
    <t>Western Illinois University</t>
  </si>
  <si>
    <t>admissions@wiu.edu</t>
  </si>
  <si>
    <t>Western Kentucky University</t>
  </si>
  <si>
    <t>admission@wku.edu</t>
  </si>
  <si>
    <t>Western Michigan University</t>
  </si>
  <si>
    <t>admissions-info@wmich.edu</t>
  </si>
  <si>
    <t>Western New England University</t>
  </si>
  <si>
    <t>cwystepe@wne.edu</t>
  </si>
  <si>
    <t>Western New Mexico University</t>
  </si>
  <si>
    <t>admissions@wnmu.edu</t>
  </si>
  <si>
    <t>Western Oregon University</t>
  </si>
  <si>
    <t>worlfgram@wou.edu</t>
  </si>
  <si>
    <t>Western State Colorado University</t>
  </si>
  <si>
    <t>admissions@western.edu</t>
  </si>
  <si>
    <t>Western Washington University</t>
  </si>
  <si>
    <t>admit@wwu.edu</t>
  </si>
  <si>
    <t>Westfield State University</t>
  </si>
  <si>
    <t>admissions@westfield.ma.edu</t>
  </si>
  <si>
    <t>Westminster College</t>
  </si>
  <si>
    <t>admis@westminster.edu</t>
  </si>
  <si>
    <t>Westminster College Missouri</t>
  </si>
  <si>
    <t>admissions@westminster-mo.edu</t>
  </si>
  <si>
    <t>Westminster College Utah</t>
  </si>
  <si>
    <t>admission@westminstercollege.edu</t>
  </si>
  <si>
    <t>Westmont College</t>
  </si>
  <si>
    <t>admissions@westmont.edu</t>
  </si>
  <si>
    <t>Wheaton College Il</t>
  </si>
  <si>
    <t>admissions@wheaton.edu</t>
  </si>
  <si>
    <t>Wheaton College Massachusetts</t>
  </si>
  <si>
    <t>admission@wheatoncollege.edu</t>
  </si>
  <si>
    <t>Wheeling Jesuit University</t>
  </si>
  <si>
    <t>admiss@wju.edu</t>
  </si>
  <si>
    <t>Whitman College</t>
  </si>
  <si>
    <t>admission@whitman.edu</t>
  </si>
  <si>
    <t>Whittier College</t>
  </si>
  <si>
    <t>admission@whittier.edu</t>
  </si>
  <si>
    <t>Whitworth University</t>
  </si>
  <si>
    <t>admissions@whitworth.edu</t>
  </si>
  <si>
    <t>Wichita State University</t>
  </si>
  <si>
    <t>admissions@wichita.edu</t>
  </si>
  <si>
    <t>Widener University</t>
  </si>
  <si>
    <t>admissions.office@widener.edu</t>
  </si>
  <si>
    <t>Wilberforce University</t>
  </si>
  <si>
    <t>admission@wilberforce.edu</t>
  </si>
  <si>
    <t>Wilkes University</t>
  </si>
  <si>
    <t>admissions@wilkes.edu</t>
  </si>
  <si>
    <t>Willamette University</t>
  </si>
  <si>
    <t>bearcat@willamette.edu</t>
  </si>
  <si>
    <t>William Carey University</t>
  </si>
  <si>
    <t>admissions@wmcarey.edu</t>
  </si>
  <si>
    <t>William Jessup University</t>
  </si>
  <si>
    <t>admissions@jessup.edu</t>
  </si>
  <si>
    <t>William Jewell College</t>
  </si>
  <si>
    <t>admission@william.jewell.edu</t>
  </si>
  <si>
    <t>William Paterson University Nj</t>
  </si>
  <si>
    <t>admissions@wpunj.edu</t>
  </si>
  <si>
    <t>William Peace University</t>
  </si>
  <si>
    <t>admissions@peace.edu</t>
  </si>
  <si>
    <t>William Penn University</t>
  </si>
  <si>
    <t>admissions@wmpenn.edu</t>
  </si>
  <si>
    <t>William Woods University</t>
  </si>
  <si>
    <t>admissions@williamwoods.edu</t>
  </si>
  <si>
    <t>Williams Baptist College</t>
  </si>
  <si>
    <t>admissions@wbcoll.edu</t>
  </si>
  <si>
    <t>Williams College</t>
  </si>
  <si>
    <t>admission@williams.edu</t>
  </si>
  <si>
    <t>Wilmington College</t>
  </si>
  <si>
    <t>admissions@wilmington.edu</t>
  </si>
  <si>
    <t>Wilmington University</t>
  </si>
  <si>
    <t>infocenter@wilmu.edu</t>
  </si>
  <si>
    <t>Wilson College</t>
  </si>
  <si>
    <t>admissions@wilson.edu</t>
  </si>
  <si>
    <t>Wingate University</t>
  </si>
  <si>
    <t>admit@wingate.edu</t>
  </si>
  <si>
    <t>Winona State University</t>
  </si>
  <si>
    <t>admissions@winona.edu</t>
  </si>
  <si>
    <t>Winston Salem State University</t>
  </si>
  <si>
    <t>admissions@wssu.edu</t>
  </si>
  <si>
    <t>Winthrop University</t>
  </si>
  <si>
    <t>admissions@winthrop.edu</t>
  </si>
  <si>
    <t>Wisconsin Lutheran College</t>
  </si>
  <si>
    <t>admissions@wlc.edu</t>
  </si>
  <si>
    <t>Wittenberg University</t>
  </si>
  <si>
    <t>admission@wittenberg.edu</t>
  </si>
  <si>
    <t>Wofford College</t>
  </si>
  <si>
    <t>admission@wofford.edu</t>
  </si>
  <si>
    <t>Woodbury University</t>
  </si>
  <si>
    <t>info@woodbury.edu</t>
  </si>
  <si>
    <t>Worcester Polytechnic Institute</t>
  </si>
  <si>
    <t>admissions@wpi.edu</t>
  </si>
  <si>
    <t>Worcester State University</t>
  </si>
  <si>
    <t>admissions@worcester.edu</t>
  </si>
  <si>
    <t>Wright State University</t>
  </si>
  <si>
    <t>admissions@wright.edu</t>
  </si>
  <si>
    <t>Xavier University</t>
  </si>
  <si>
    <t>xuadmit@xavier.edu</t>
  </si>
  <si>
    <t>admissions@xula.edu</t>
  </si>
  <si>
    <t>Yale University</t>
  </si>
  <si>
    <t>student.questions@yale.edu</t>
  </si>
  <si>
    <t>Yeshiva University</t>
  </si>
  <si>
    <t>yuadmit@yu.edu</t>
  </si>
  <si>
    <t>York College</t>
  </si>
  <si>
    <t>admissions@ycp.edu</t>
  </si>
  <si>
    <t>enroll@york.edu</t>
  </si>
  <si>
    <t>Young Harris College</t>
  </si>
  <si>
    <t>admissions@yhc.edu</t>
  </si>
  <si>
    <t>Youngstown State University</t>
  </si>
  <si>
    <t>enroll@ysu.edu</t>
  </si>
  <si>
    <t xml:space="preserve">Institution </t>
  </si>
  <si>
    <t>Admissions information</t>
  </si>
  <si>
    <t>Financial aid information</t>
  </si>
  <si>
    <t>Student life</t>
  </si>
  <si>
    <t>Special contact</t>
  </si>
  <si>
    <t>Gives need-aid?</t>
  </si>
  <si>
    <t>Mergers</t>
  </si>
  <si>
    <t>New York Tech welcomes students without regard to their immigration status, and does not request information regarding immigration status from applicants, except for certain health professions programs where government licensure is at issue.</t>
  </si>
  <si>
    <t>New York Tech offers institutional scholarships to students without regard to immigration status.</t>
  </si>
  <si>
    <t>New York Tech maintains a strong commitment to the privacy of student records for all students, consistent with state and federal laws. We do not provide information on immigration status to anyone except when required by law.
New York Tech complies with federal law regarding reporting in connection with student F-1 and J-1 visas.
Campus security staff do not inquire about or record immigration status when performing their duties.
In accordance with federal law, the enforcement of immigration law rests with Immigration and Customs Enforcement and Customs and Border Protection. New York Tech will not proactively seek to enforce federal immigration law except when required to do so by law.
New York Tech offers confidential counseling services to all students.</t>
  </si>
  <si>
    <t>nyit</t>
  </si>
  <si>
    <t>Are undocumented students considered international or domestic? 
Domestic.
Are you need-blind for undocumented students? 
Yes.
Are there any restrictions on merit aid for undocumented students at your school? 
Amherst College does not offer merit aid. all aid is need-based. We provide aid to meet 100% of a student's demonstrated financial need with grants and student employment. student loans are not part of our institutional financial aid packages.
Does your school provide merit aid specially for undocumented students? 
Amherst College does not offer merit aid at all, to anyone.
How would their status affect their application?? 
A student's undocumented status would not have a detrimental effect on our admission decision. Because Amherst practices holistic evaluation, we encourage applicants to share with us any information that they believe will provide useful context for our understanding of them as students and people.
Is there a special contact point for undocumented students? 
There is no special contact for undocumented students in the Amherst Admission Office. Because Amherst College is committed to increased access to higher education as part of our institutional mission, all Admission deans are attuned to the needs of undocumented students.</t>
  </si>
  <si>
    <t>Are undocumented students eligible for need-based aid? 
Yes
What financial aid application should undocumented students send? The CSS, FAFSA, ISFAA or a form unique to your school? 
CSS Profile</t>
  </si>
  <si>
    <t>Are there organized groups or clubs comprised of or advocating for undocumented students in your school? 
Yes
How often does your office receive applications from undocumented students? 
Regularly, every year.
Does the campus police enforce immigration law? 
No
Does your school share student immigration status with ICE? 
No, not voluntarily.
Does your school provide distance-learning options for deported students to complete their degrees? 
We have no established policy on this issue.
Does your school provide confidential legal support to students with immigration law questions and issues? 
Yes</t>
  </si>
  <si>
    <t>I encourage you to review our College website, including especially the following pages that are specifically related to undocumented and DACA students:
Admission: https://www.amherst.edu/admission/apply/firstyear/undoc
Financial Aid: https://www.amherst.edu/offices/financialaid/firstyear_transfer/canadian_intl
Resources: https://www.amherst.edu/offices/immigration-services/daca-and-undocumented 
Statements: https://www.amherst.edu/offices/immigration-services/immigration/statements-from-president-martin</t>
  </si>
  <si>
    <t>amherst</t>
  </si>
  <si>
    <t>Rice University welcomes all applicants and considers candidates for undergraduate admission without regard to nationality or citizenship, including undocumented students with Deferred Action for Childhood Arrivals (DACA) status at the time of admission and those without DACA status who have studied in the us for a minimum of 5 years, who have or will graduate from a U.S. high school and who have lived in the U.S. for an extended period of time.
Undocumented students who have been granted DACA status at the time of admission and undocumented students who do not hold DACA status but have or will graduate from a U.S. high school and who have lived in the U.S. for an extended period of time are considered domestic students. For domestic students, Rice University practices need-blind admissions and meets the full demonstrated financial need of admitted students through a combination of scholarship awards, work study and available loans.
We have some well developed resources for DACA and Undocumented Students on our website - much of the information is in bullet form, so hopefully you can find whatever information you are looking for:
https://daca.rice.edu/
https://daca.rice.edu/undocumented-students-faq
https://daca.rice.edu/support
https://daca.rice.edu/campus-resources</t>
  </si>
  <si>
    <t>rice</t>
  </si>
  <si>
    <t>All admissions decisions regarding undocumented applicants are made on a case-by-case basis. Any interested student must first apply at www.ab.edu and check "international".</t>
  </si>
  <si>
    <t>ab</t>
  </si>
  <si>
    <t>Are undocumented students considered international or domestic? Domestic. 
Are you need-blind for undocumented students? Yes. 
Are there any restrictions on merit aid for undocumented students at your school? No. 
Does your school provide merit aid specially for undocumented students? In some cases. 
Would you advice an undocumented student to reveal their status in their application or subsequent email? Either would be fine. 
How would their status affect their application?? it would not. 
Is there a special contact point for undocumented students? Our director of diversity, equity and inclusion can be a helpful resource.
What other piece of advice would you give an undocumented student hoping for admission at your school? Take the simple step to apply for free: http://engage.bethelks.edu/apply</t>
  </si>
  <si>
    <t>Are undocumented students eligible for need-based aid? In some cases. Contact the admissions office for more info.
If need-based aid is not available, is there a feasible path undocumented students can take to pay for their education with stackable merit scholarships, loans and/or grants from your school? It is feasible contact the admission office for more info on your specific case.
What would be the requirements for such scholarships and what would a student's chances of getting them? Students must apply to Bethel and can be in conversation with their counselor and the financial aid director</t>
  </si>
  <si>
    <t>Are there organized groups or clubs comprised of or advocating for undocumented students in your school? Yes
How often does your office receive applications from undocumented students? They are common 
Does your school allow Immigration and Customs Enforcement (ICE) officers onto campus without a warrant? No
Does the campus police enforce immigration law? we don't have campus police
Does your school share student immigration status with ICE? No
Does your school provide distance-learning options for deported students to complete their degrees? we offer in-person learning</t>
  </si>
  <si>
    <t>The Director of diversity, equity and inclusion</t>
  </si>
  <si>
    <t>bethelks</t>
  </si>
  <si>
    <t>Biola considers all undocumented students as domestic students and ask that they follow the admissions guidelines for First-time College Students: https://www.biola.edu/admissions/undergrad/first-time or Transfer Students: https://www.biola.edu/admissions/undergrad/transfer. Their application is reviewed under the same standard as any other domestic student.</t>
  </si>
  <si>
    <t>As for Financial Aid, please refer to #2 in Steps: https://www.biola.edu/financial-aid/process/apply for forms that undocumented students should fill out to receive aid.</t>
  </si>
  <si>
    <t>biola</t>
  </si>
  <si>
    <t>Brandeis welcomes all applicants, regardless of citizenship status, to apply for admission.
Just like our other applicants, undocumented/out-of-status students, with or without Deferred Action for Childhood Arrival (DACA) status, Temporary Protected Status (TPS) students, and those with Asylum Status are considered for merit-based scholarships automatically. There is no additional application process or form in order to be considered for merit aid.
The other application requirements remain consistent with our other first year students, and you can find more information about first-year applicants and undocumented applicants at https://bit.ly/2SeWIhd. It is also important to mention that out-of-status/undocumented students are not considered international, and our application process for them will reflect that.</t>
  </si>
  <si>
    <t>In order to be considered for need-based aid, they need only submit a CSS profile. Brandeis is a need-aware school for all applicants.</t>
  </si>
  <si>
    <t>brandeis</t>
  </si>
  <si>
    <t>We unfortunately cannot give specific council about how to fill out the application, but we recommend that you speak with our international services office so they can go over some important information and requirements with you. You may be able to be admitted to BYU-Idaho. Here is the information for our international services office 
https://www.byui.edu/international-services.
However, international services cannot go over a lot of information with you unless you are admitted as a student already. Our admissions office recommends that you just fill out the application as accurately as possible if you choose to apply.</t>
  </si>
  <si>
    <t>Undocumented students are not eligible for federal financial aid, employment, or some internships.
For your financial aid questions, international services can give you more information about what applications you can fill out if you are admitted</t>
  </si>
  <si>
    <t>BYU-Idaho enrollment will not prevent deportation if you are apprehended</t>
  </si>
  <si>
    <t>byui</t>
  </si>
  <si>
    <t>Are undocumented students considered international or domestic? 
Domestic.
Are you need-blind for undocumented students? 
The status does not matter to us. We do not ask the status of the student.
Are there any restrictions on merit aid for undocumented students at Cambridge College? 
No
Does Cambridge College provide merit aid, especially for undocumented students? 
No
Would you advise an undocumented student to reveal their status in their application or subsequent email? 
No.
How would their status affect their application??  
We do not ask for their status.
Is there a special contact point for undocumented students? 
No. For information about the degree program, call (800) 829-4723
What other piece of advice would you give an undocumented student hoping for admission at Cambridge College? 
We are nonprofit. our tuition is affordable. Learn more here: https://www.cambridgecollege.edu/about-cambridge-college</t>
  </si>
  <si>
    <t>Are undocumented students eligible for need-based aid? 
No, they are not eligible for aid.
If need-based aid is not available, is there a feasible path undocumented students can take to pay for their education with stackable merit scholarships, loans and/or grants from your school? 
None. They are responsible for payment.</t>
  </si>
  <si>
    <t>Are there organized groups or clubs comprised of or advocating for undocumented students in your school? 
No
Does Cambridge College allow Immigration and Customs Enforcement (ICE) officers onto campus without a warrant? 
No
Does the campus police enforce immigration law? 
No
Does your school share student immigration status with ICE? 
No</t>
  </si>
  <si>
    <t>cambridgecollege</t>
  </si>
  <si>
    <t>We consider applications from all students, regardless of citizenship. This includes students living in the United States who are not U.S. citizens or legal permanent residents. We are able to fully support undocumented students with DACA status: https://www.uscis.gov/humanitarian/consideration-deferred-action-childhood-arrivals-daca. These students are not considered among our international applicants.
Because we have limited financial resources, we consider undocumented students without DACA status with international applicants who apply for financial aid. These undocumented students are eligible for Carleton-based grants and loans.
Applying for Admission.
Undocumented students should follow the same admissions application procedures: http://www.carleton.edu/admissions/apply/steps/ as U.S. citizens and U.S. permanent residents.</t>
  </si>
  <si>
    <t>Applying for Financial Aid
Undocumented students who need financial assistance must complete just one frm:
College Scholarship Service (CSS) Financial Aid PROFILE: https://cssprofile.collegeboard.org/.
Awards for undocumented students come in the form of grants, scholarships, student loan, and a campus employment opportunity. Financial aid is applied to academic-year expenses and generally is not available for travel or summer expenses. Scholarship amounts vary and are based on the need of the individual student. It is important to note that if we cannot meet your demonstrated financial need, we will not offer you admission.</t>
  </si>
  <si>
    <t>https://www.carleton.edu/dean-of-students/student-support/daca-support/
DACA FAQ: https://www.carleton.edu/dean-of-students/student-support/daca-support/daca-faq/</t>
  </si>
  <si>
    <t>carleton</t>
  </si>
  <si>
    <t>Regarding Admissions- Undocumented students are able to apply and take classes at Dalton State College. We do not deny students based on their residency. Our application has a section where you can claim residency. If a student does not have legal residency, they can simply not claim residency which will eliminate the need to submit any lawful presence documents. The student will just need to submit transcripts and an immunization record. Once the student is accepted, they can freely take classes.</t>
  </si>
  <si>
    <t>Regarding Financial Aid- Unfortunately, undocumented students are not eligible for any federal funding as you need a SSN number to apply for FAFSA. FAFSA is what allows all schools in the country to verify a student's financial aid eligibility. Each school may have independent help in regards to offering students additional aid that does not fall under federal funding. At Dalton State, we have the Dalton State Foundation Scholarship. These are scholarships that all Dalton State students can apply for regardless of residency. The scholarships within the foundation have various requirements based on different things like GPA, major, and demographical information. Undocumented students do have to pay the out-of-state tuition rate as there is no way to verify residency for in-state tuition. There are some private loan lenders that allow students under the DACA status to apply for loans with a US resident/Citizen Co-signer such as SoFi. https://www.sofi.com/private-student-loans/</t>
  </si>
  <si>
    <t>Regarding student life-There are no requirements for residency to be involved in any of our student life functions. All our students are welcomed and encouraged to join organizations and be a part of all our campus events. Our campus police are exceptionally friendly and never will legal residency be asked of students from our public safety department. At Dalton State, we are Georgia's first and only HSI institution. This stands for Hispanic Serving Institution. Over 25% of our student population identifies as Hispanic.</t>
  </si>
  <si>
    <t>I highly recommend contacting our Dean of Students, Dr. Jami Hall, for further questions regarding our policies that may affect undocumented students. Her email is jhall@daltonstate.edu</t>
  </si>
  <si>
    <t>daltonstate</t>
  </si>
  <si>
    <t>Are undocumented students eligible for need-based aid?
Yes they are.
What financial aid application should undocumented students send? The CSS, FAFSA, ISFAA or a form unique to your school?
There is an institutional form the Admissions Dept. sends out to have the student complete.
If need-based aid is not available, is there a feasible path undocumented students can take to pay for their education with stackable merit scholarships, loans and/or grants from your school?
Need-based funding would be available (we treat this application similar to a FAFSA as far as determining aid). Unfortunately this doesn’t cover full tuition and students must look into obtaining a loan (generally this is where the snag occurs as Parent Plus Loans aren’t permitted and private loans must have valid U.S. cosigners).
What would be the requirements for such scholarships and what would be a student's chances of getting them?
Regular students must obtain a 2.0 GPA or higher as well as 24 credit hours. The Admissions Dept. handles these qualifications as well.</t>
  </si>
  <si>
    <t>juniata</t>
  </si>
  <si>
    <t>Unfortunately, as a state supported university in South Carolina, we are not allowed, by law, to offer admission to undocumented students.</t>
  </si>
  <si>
    <t>lander</t>
  </si>
  <si>
    <t>Are undocumented students considered international or domestic?
Domestic
Are you need-blind for undocumented students?
Yes
Are there any restrictions on merit aid for undocumented students at your school?
No
Does your school provide merit aid specially for undocumented students?
Merit?  No.  But, we do offer a DREAM Grant application for undocumented students that demonstrated “need”.
Would you advice an undocumented student to reveal their status in their application or subsequent email?
Yes
How would their status affect their application?? 
It allows our staff to recommend scholarships and grants available to undocumented students.
What other piece of advice would you give an undocumented student hoping for admission at your school?
You are welcome here!  We will do our best to make Newman University a possibility.</t>
  </si>
  <si>
    <t>Are undocumented students eligible for need-based aid?
Yes
What financial aid application should undocumented students send? The CSS, FAFSA, ISFAA or a form unique to your school?
DREAM Grant application – unique form
If need-based aid is not available, is there a feasible path undocumented students can take to pay for their education with stackable merit scholarships, loans and/or grants from your school?
Merit scholarships (Music, Art/Theatre, Academic, Honors, Community Service, Athletics, etc.), DREAM Grant, no loans
What would be the requirements for such scholarships and what would a student's chances of getting them?
Details here: NewmanU.edu/Scholarship</t>
  </si>
  <si>
    <t>Are there organized groups or clubs comprised of or advocating for undocumented students in your school?
Not specifically, but we do have groups that typically welcome a lot of undocumented students, i.e. Asian Student Association, HALO, Multicultural Leadership Organization, Black Student Union, etc.
How often does your office receive applications from undocumented students?
Frequently
Does your school share student immigration status with ICE?
Not that I’m aware of. I believe it is against FERPA policies?
Does your school provide distance-learning options for deported students to complete their degrees?
Yes.
Does your school provide confidential legal support to students with immigration law questions and issues?
No.</t>
  </si>
  <si>
    <t>Georgia Drewes, Associate Director of Admissions, DrewesG@NewmanU.edu</t>
  </si>
  <si>
    <t>newmanu</t>
  </si>
  <si>
    <t>Undocumented students are not eligible for aid and there isn't a separate application for them. The options are to pay out of pocket or try to obtain a private loan.
​Undocumented students can also attempt to apply for outside scholarships where they meet the criteria. Those are through donors and their criteria is what needs to be followed.</t>
  </si>
  <si>
    <t>nsu</t>
  </si>
  <si>
    <t>Are undocumented students considered international or domestic?
Technically classified as international in our system, but not required to submit English proficiency exams like our other international students. 
Are you need-blind for undocumented students?
We are "need aware" for every student.
Are there any restrictions on merit aid for undocumented students at your school?
None. 
Does your school provide merit aid specially for undocumented students?
We don't - merit aid is open to any student who qualifies. 
Would you advice an undocumented student to reveal their status in their application or subsequent email?
It's completely up to the student. 
How would their status affect their application?
It doesn't affect their admissions application at all. 
What other piece of advice would you give an undocumented student hoping for admission at your school?
We've had a number of undocumented students excel here - we hope you consider us!</t>
  </si>
  <si>
    <t>Are undocumented students eligible for need-based aid?
Yes 
What financial aid application should undocumented students send? The CSS, FAFSA, ISFAA or a form unique to your school?
CA resident students can submit Dream Act paperwork to be considered for need aid.   Out of state students can submit the Application for Aid for International Students.
If need-based aid is not available, is there a feasible path undocumented students can take to pay for their education with stackable merit scholarships, loans and/or grants from your school?
Need aid is available, but students can also stack aid—merit awards, need grants, performance awards, loans, etc - are all stackable. 
What would be the requirements for such scholarships and what would a student's chances of getting them?
100% depends on the award and the student.</t>
  </si>
  <si>
    <t>Are there organized groups or clubs comprised of or advocating for undocumented students in your school?
Not specifically, as we don't require undocumented student to disclose their status.
How often does your office receive applications from undocumented students?
Annually.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We haven't had a student in this situation, so we'd have to evaluate! 
Does your school provide confidential legal support to students with immigration law questions and issues?
Confidential support is available to students, but we don't have campus attorneys, so it would be handled on a case by case basis.</t>
  </si>
  <si>
    <t>All undocumented students work with our Assistant Director, Nicole Munden.</t>
  </si>
  <si>
    <t>pointloma</t>
  </si>
  <si>
    <t>In admissions and financial aid, Pomona considers undocumented and DACAmented students who graduate from a U.S. high school to be domestic applicants, and we review their applications for admission and financial aid by the same criteria.
For more information regarding admissions, please email admissions@pomona.edu.
For questions about financial aid, please contact the Office of Financial Aid.</t>
  </si>
  <si>
    <t>Legal Resources
Current Pomona students and alumni may contact the Sagehen Pro Bono immigration legal resources network (primarily composed of alumni) via email at any time for immigration issues or concerns that may arise. The Sagehen network is for current students, alumni and their immediate family members.
Current students may also contact the Sagehen network to arrange a consultation with a lawyer regarding legal representation resources in case of detention (including a signed G28 form).
Emergency Grants
Students may request funding related to immigration-related costs. Students may also apply for emergency funding for immigration-related fees for them, parents or close family members.
The College may provide up to $1,000 in legal support for immigration-related cases. These requests are reviewed with our alumni lawyers who are part of a pro bono legal resource network for students, alumni, as well as students who are citizens or legal permanent residents but whose parents or siblings are undocumented.
On-Campus Resources
A variety of resources are available to undocumented and DACAmented students who need support:
Staff Support
Student affairs staff provide support for undocumented students. In the Office of Student Leadership and Mentoring, Daniel Caballero serves as Assistant Director, First-Generation &amp; Undocumented Student Programs and works closely with the IDEAS (Improving Dreams, Equality, Access and Success) Club of The Claremont Colleges as well as the Pomona IDEAS mentoring program for undocumented students and FLI (First-Generation, Low-Income Scholars Mentorship). Dean Ric Townes oversees the student leadership and mentoring program. Associate Dean of Students and Director of the Draper Center for Community Partnerships Sefa Aina. Draper Center Assistant Director, Stephanie Rios. and Associate Dean of Students and Director of the Asian American Resource Center Mike Manalo-Pedro provide additional program support.
Student Groups
Student-led groups such as IDEAS offer cross campus support for undocumented students and allies. The Pomona IDEAS peer mentoring program provides personalized support for undocumented students in their transition to Pomona.
Counseling Services
To supplement the resources of Monsour Counseling Center, the Dean of Students Office also offers access to therapists off campus with whom the office and Monsour counseling have developed local partnerships, including therapists with expertise in working with undocumented students. On-campus as well as off-site counseling services are available for all students. Students can email wellness@pomona.edu  to find out more. Monsour counseling is also open for counseling appointments, and encourages students to contact them at (909) 621-8202 if they need to see a counselor immediately. Students can also contact the on-call dean 24/7 via Campus Safety (909-607-2000).
Career Development and Post-graduation Support
The Career Development Office (CDO) empowers students and alumni to utilize their liberal arts education to gain self-understanding, identify their interests, and formulate a career plan.  Through the programs, resources and services, the CDO strives to inspire, educate, and equip Sagehens for a purposeful and rewarding life.  The CDO offers three distinguished programs: The Pomona College Internship Program (PCIP Semester), Summer Experience (PCIP Summer Experience) and Campus Fellowships for Experiential Learning. These programs aid students in the process of exploring &amp; determining a career path, gaining a rich understanding of a particular field and/or organization, building &amp; growing their professional networks, and enhancing the understanding of how their liberal arts education will be applied in a professional work environment
Students may request funding through the Office of Financial Aid to replace a reasonable amount of the expected work study funding and/or the student contribution if a student is not able to work due to an expiring DACA work authorization or other extenuating circumstances. Students may submit the Work-Study Replacement Request [pdf] form to the Office of Financial Aid. We also welcome students to meet with their financial aid counselor at any time if they encounter financial challenges or if there are changing financial circumstances at home. Each student’s financial circumstances are different and we work individually with each student to address any changes if issues emerge.</t>
  </si>
  <si>
    <t>pomona</t>
  </si>
  <si>
    <t>https://www.chapman.edu/admission/undergraduate/how-to-apply/undocumented-students.aspx</t>
  </si>
  <si>
    <t>chapman</t>
  </si>
  <si>
    <t>Are undocumented students considered international or domestic?
Undocumented students are considered domestic students. Only students who intend to apply for F1 status are considered international students
Are you need-blind for undocumented students?
MSU Denver only considers factors that are academic related (GPA, test scores, letters of recommendation, personal statements). We do not based our admission decision on the student’s financial status, however, if a student has economic hardship for paying the application fee we will waive it.
Are there any restrictions on merit aid for undocumented students at your school?
Undocumented students who are residents of Colorado can qualify for in-state tuition, institutional aid, and state financial aid.
Does your school provide merit aid specially for undocumented students?
Yes, but the student must be a resident of Colorado to qualify for any institutional scholarships.
Would you advise an undocumented student to reveal their status in their application or subsequent email?
Students have the option of selecting the ‘No Visa’ as an option for immigration status. If you contact our university, you may feel safe in disclosing your status. The privacy of your student records are protected by federal law.
How would their status affect their application??  
If the student selects ‘No Visa’ on their application, their status will not be questioned, and we will not be asking for further documentation pertaining the student’s immigration status.
Is there a special contact point for undocumented students?
MSU Denver has the largest population of undocumented students in the state of Colorado and therefore, all our admissions counselors are trained to help you meeting the needs of an undocumented student. Also consider contacting our Immigrant Services program at MSU Denver who can also provide one on one assistance with any process at MSU Denver.
What other piece of advice would you give an undocumented student hoping for admission at your school?
When it comes to admissions criteria, we consider undocumented students as a domestic student and therefore, the criteria are the same as a US Citizen so I would give the same recommendation as to any other domestic student.
Keep your GPA above 2.6 (although we will still consider you if your GPA is below 2.6)
Study hard on your ACT test. If you didn’t do good on it, still consider applying
We don’t require letters of recommendation or personal statements but if your GPA is less than 2.6 then I recommend you to submit them anyways.
Start the process early! Most colleges and universities have an early scholarship deadline. Ours is in March 1 so try to be admitted to your desired institution ahead of time to avoid any problems with deadlines 
Apply for scholarships early. Visit our financial aid website for additional information on financial aid and scholarships www.msudenver.edu/financialaid/</t>
  </si>
  <si>
    <t>Are undocumented students eligible for need-based aid?
Yes
What financial aid application should undocumented students send? The CSS, FAFSA, ISFAA or a form unique to your school?
The state of Colorado has a specialized application called CASFA. We use the information form CASFA for institutional scholarships eligibility
In addition, MSU Denver has a general scholarship application that students can apply for any of our privately funded scholarships. Scholarships | Financial Aid | MSU Denver 
What would be the requirements for such scholarships and what would a student's chances of getting them?
That depends on the scholarship. Students are only required to fill out the general MSU Denver application for be eligible for our foundation scholarships
Scholarships | Financial Aid | MSU Denver</t>
  </si>
  <si>
    <t>Are there organized groups or clubs comprised of or advocating for undocumented students in your school?
Yes, we have the Immigrant Services program Immigrant Services | Immigrant Services | MSU Denver 
How often does your office receive applications from undocumented students?
Every year
Does your school allow Immigration and Customs Enforcement (ICE) officers onto campus without a warrant?
MSU Denver is housed on the Auraria campus which is a commuter campus that is controlled by the state.
Does the campus police enforce immigration law?
No, Auraria campus police does not enforce immigration law.
Does your school share student immigration status with ICE?
No, this is illegal because students’ records are protected by FERPA.
Does your school provide distance-learning options for deported students to complete their degrees?
For a list of our fully online programs go to www.msudenvere.du/online/ 
Does your school provide confidential legal support to students with immigration law questions and issues?
Yes, our immigrant series programs offer free legal sessions with immigration lawyers from time to time where students can ask questions on a group setting.</t>
  </si>
  <si>
    <t>msudenver</t>
  </si>
  <si>
    <t>Are undocumented students considered international or domestic?  
Undocumented students would be considered ‘International’ as their citizenship country would not be the United States. Our state policy requires financial support to be documented for all international students, but undocumented students do not need to apply for a visa unless they wish to be on the F-1 student visa.
Are you need-blind for undocumented students? 
International students are not eligible for our automatic incoming awards. They are eligible to apply for other Minot State Scholarships (the application for general Minot State scholarships is due February 15 of each year).
Are there any restrictions on merit aid for undocumented students at your school? 
Our incoming, automatic merit awards are restricted to US and Canadian citizens only, but other merit awards may be available, depending on the academic program and success of our students.
Does your school provide merit aid specially for undocumented students? 
Minot State does not provide any specific aid for undocumented students.
Would you advice an undocumented student to reveal their status in their application or subsequent email? 
It is helpful if we know a students status so we can collect the appropriate information from the student. It will NOT impact the admission decision of the student if they reveal an undocumented status.
Is there a special contact point for undocumented students? 
Anyone in our admissions/recruiting team is equipped to help any student!
What other piece of advice would you give an undocumented student hoping for admission at your school? 
Minot State is proud to offer one rate of tuition to all students, regardless of residency. We provide a quality education at an affordable price.</t>
  </si>
  <si>
    <t>Are undocumented students eligible for need-based aid? 
Minot State offers some general scholarships to students, including those who have demonstrated financial need.  However, that is determined by the FAFSA, so only students eligible to apply for federal aid can submit that.
What financial aid application should undocumented students send? The CSS, FAFSA, ISFAA or a form unique to your school? 
The FAFSA is used to determine financial need.
If need-based aid is not available, is there a feasible path undocumented students can take to pay for their education with stackable merit scholarships, loans and/or grants from your school? As the third most affordable institution in the US, we are proud to keep our costs as low as we can. There are no Minot State specific loans/grants.
What would be the requirements for such scholarships and what would a student's chances of getting them? 
The general Minot State scholarship application deadline is February 15 of each year. A number of awards are granted to students based on academic program and success at Minot State.</t>
  </si>
  <si>
    <t>Are there organized groups or clubs comprised of or advocating for undocumented students in your school? 
There is currently not an active undocumented student club, but there is an active international student club.
How often does your office receive applications from undocumented students? 
There are undocumented student applications each term.
Does the campus police enforce immigration law? 
We do not have campus police, just campus security officers.
Does your school provide distance-learning options for deported students to complete their degrees? 
Minot State offers online degree programs for students around the world to complete.
Does your school provide confidential legal support to students with immigration law questions and issues? No, Minot State does not offer legal support for students.</t>
  </si>
  <si>
    <t>minotstateu</t>
  </si>
  <si>
    <t>please note these are general answers and each case differs but hopefully will give you an idea of what you are looking for.
Are undocumented students considered international or domestic at California State University Chico? Depends on how long you’ve lived in California, did you arrive at a young age, did you graduate high school here?
Are there any restrictions on merit aid for undocumented students at your school? No, as long as you are eligible to here on campus.
Does your school provide merit aid specially for undocumented students? We do have merit scholarships.
Would you advice an undocumented student to reveal their status in their application or subsequent email? The application will ask if you are citizen or not.
How would their status affect their application??  It does not.</t>
  </si>
  <si>
    <t>Are undocumented students eligible for need-based aid? There is a California Dream Act Application (CDAA) similar to FASFA.
What financial aid application should undocumented students send? The CSS, FAFSA, ISFAA or a form unique to your school? CDAA.
If need-based aid is not available, is there a feasible path undocumented students can take to pay for their education with stackable merit scholarships, loans and/or grants from California State University Chico? Yes.
What would be the requirements for such scholarships and what would a student's chances of getting them?
They all vary on what each scholarship needs, you will need to do your research.</t>
  </si>
  <si>
    <t>Are there organized groups or clubs comprised of or advocating for undocumented students in California State University Chico? Yes
How often does your office receive applications from undocumented students? As normal applications, they all come from calstate.edu
Does your school allow Immigration and Customs Enforcement (ICE) officers onto campus without a warrant? They are not to be on campus.
Does the campus police enforce immigration law? NO
Does your school share student immigration status with ICE? NO!
Does your school provide distance-learning options for deported students to complete their degrees? Not likely but depends on situation
Does your school provide confidential legal support to students with immigration law questions and issues? Yes, through the Dream Center and partnership with CHIRLA.</t>
  </si>
  <si>
    <t>The Dream Center – Ms. Teresita Curiel</t>
  </si>
  <si>
    <t>csuchico</t>
  </si>
  <si>
    <t>Are undocumented students considered international or domestic?  
They are considered to be undocumented students who attend high school in the U.S.
Are you need-blind for undocumented students?
Technically, BC is need-blind for all applicants. However, we attempt to reach out to undocumented applicants to share policies regarding financial aid. (Further details below).
Are there any restrictions on merit aid for undocumented students at Boston College?
No, there are no restrictions on merit-based aid for undocumented students. 
Does Boston College provide merit aid specially for undocumented students?
No. 
Would you advice an undocumented student to reveal their status in their application or subsequent email?
We aim to assist students as best as possible, so sharing their undocumented status can be helpful in terms of advising that we can provide. 
How would their status affect their application?
No. 
Is there a special contact point for undocumented students?
No. 
What other piece of advice would you give an undocumented student hoping for admission at Boston College?
Please do your research regarding the financial aid policies, if that will be a consideration for students.</t>
  </si>
  <si>
    <t>Are undocumented students eligible for need-based aid?
Generally, BC requires all applicants for need-based aid to be eligible for federal funding. In order to receive BC institutional aid, a student must also be eligible to receive federal need-based aid. At this time, federal funding is available to U.S. citizens, Permanent Residents, and students with asylee or refugee status.
What financial aid application should undocumented students send? The CSS, FAFSA, ISFAA or a form unique to your school?
N/A
If need-based aid is not available, is there a feasible path undocumented students can take to pay for their education with stackable merit scholarships, loans and/or grants from your school?
BC is now a partner with QuestBridge, and we will consider undocumented students who are applying through this program.</t>
  </si>
  <si>
    <t>bc</t>
  </si>
  <si>
    <t>Are undocumented students considered international or domestic at Texas State University?
Domestic students
Are you need-blind for undocumented students?
We don’t ask students about their status we treat all students equally 😊
Are there any restrictions on receiving merit aid for undocumented students from Texas State University?
No restrictions
Does your school provide merit aid specially for undocumented students?
Not specifically for undocumented all students in the top 35% of their graduating class with an 1160 SAT or 24 ACT get merit scholarships.
Would you advice an undocumented student to reveal their status in their application or subsequent email?
You don’t need to reveal your status just file for the application the best way you can 😊
How would their status affect their application??
It won’t we have undocumented students in our student body.
Is there a special point of contact at your school for undocumented students?
All our support services are in this link https://www.sdi.txstate.edu/ProgramsResources/Immigrants.html
What other piece of advice would you give an undocumented student hoping for admission at your school?
Use the resources that Texas State has and contact us if you have any questions!</t>
  </si>
  <si>
    <t>Are undocumented students eligible for need-based aid?
Yes! You will need to fill a TASFA for that information on that can be found here https://www.finaid.txstate.edu/undergraduate/how/TASFA.html
What financial aid application should undocumented students send? The CSS, FAFSA, ISFAA or a form unique to your school?
Tasfa https://www.finaid.txstate.edu/undergraduate/how/TASFA.html
What would be the requirements for merit scholarships and what would a student's chances of getting them?
Merit based scholarships are based off of the top 35% of your graduating class with an 1160 SAT or 24 ACT. We also have scholarships for students to apply for in the bobcat online scholarship system that deadline is December 15th every year and students have to be accepted first in order for them to apply to those scholarships. BOSS scholarships can be found here https://www.finaid.txstate.edu/scholarships/boss/</t>
  </si>
  <si>
    <t>Are there organized groups or clubs comprised of or advocating for undocumented students in your school?
You can find our resources and clubs for students here! https://www.sdi.txstate.edu/ProgramsResources/Immigrants.html
How often does your office receive applications from undocumented students?
All students undocumented or not need to follow our application steps for freshman laid out here. https://www.admissions.txstate.edu/future-students/apply-for-admission.html
Any more questions you have regarding student life and legal situations should be sent to excellence@txstate.edu. they’ll be able to give you more in-depth answers!</t>
  </si>
  <si>
    <t>https://www.sdi.txstate.edu/ProgramsResources/Immigrants.html</t>
  </si>
  <si>
    <t>txstate</t>
  </si>
  <si>
    <t>Are undocumented students considered international or domestic?
International
Are you need-blind for undocumented students?
Our admissions process is need blind for all students
Are there any restrictions on merit aid for undocumented students at your school?
Does your school provide merit aid specially for undocumented students?
Would you advice an undocumented student to reveal their status in their application or subsequent email?
They can if they feel comfortable and we will protect their status, but don’t require them to do so
How would their status affect their application??
Their status wouldn’t affect our review process</t>
  </si>
  <si>
    <t>Admissions.counselors@wwu.edu</t>
  </si>
  <si>
    <t xml:space="preserve">More information and resources can be found here:
Scholarship Center
https://www.finaid.wwu.edu/scholarships/pages/
Undocumented Students Resource Page
https://www.wwu.edu/undocumented-students
Blue Resource Group
https://as.wwu.edu/sairc/blue/
</t>
  </si>
  <si>
    <t>wwu</t>
  </si>
  <si>
    <t>Are undocumented students considered international or domestic?
They can be considered domestic and qualify for resident tuition prices if they qualify for AB-540. 
Are you need-blind for undocumented students?
I recommend that you contact the Office of Financial Aid and Scholarships for this inquiry: https://sacd.sdsu.edu/financial-aid
Are there any restrictions on merit aid for undocumented students at your school?
I recommend that you contact the Office of Financial Aid and Scholarships for this inquiry: https://sacd.sdsu.edu/financial-aid 
Does your school provide merit aid specially for undocumented students?
I recommend that you contact the Office of Financial Aid and Scholarships for this inquiry: https://sacd.sdsu.edu/financial-aid 
Would you advice an undocumented student to reveal their status in their application or subsequent email?
We will be able to identify these students based off of how they answer the residency questions within the Cal State Apply. 
How would their status affect their application?Being undocumented does not impact their application. 
Is there a special contact point for undocumented students?
You can find the contact information for our Undocumented Resource Center here: https://sacd.sdsu.edu/undocumented-resource
What other piece of advice would you give an undocumented student hoping for admission at your school?
One thing to keep in mind is that the application process is not that different from a documented student. I recommend they fill out the application as accurately as possible and if we need further information, we will contact the student. In addition, residency is not determined for undergraduate students unless they are admitted. If they have an "X" as their residency status after they apply, just know it will be determined if they are admitted.
If you have further inquiries please respond to this email or visit our Virtual Front Desk: https://sdsu.zoom.us/j/97616629926?pwd=STMzSk9aYnFIV1hlVXA3UDRHVTZ6Zz09 (available Monday-Friday between 11AM-2PM PST).</t>
  </si>
  <si>
    <t>SDSU</t>
  </si>
  <si>
    <t>All the information regarding admissions, financial aid and student life policies for undocumented students can be found here. 
https://admissions.tufts.edu/apply/undocumented-students/</t>
  </si>
  <si>
    <t>tufts</t>
  </si>
  <si>
    <t>Are undocumented students considered international or domestic? 
Undocumented students can apply as domestic students.
Are you need-blind for undocumented students? 
We are need-blind for undocumented students. In addition to merit-based scholarships, you may be eligible for financial aid through the Dream-Act.
Are there any restrictions on merit aid for undocumented students at your school? 
Merit-Aid is based on your portfolio and academic record.
Does your school provide merit aid specially for undocumented students? 
no
Would you advice an undocumented student to reveal their status in their application or subsequent email? 
We will reach out to you if we have questions about your status.
How would their status affect their application??
A student's status will have no bearing on an admissions decision.
Is there a special contact point for undocumented students? 
no
What other piece of advice would you give an undocumented student hoping for admission at your school? 
We recommend scheduling an appointment to speak with a counselor for specific advice on your portfolio.</t>
  </si>
  <si>
    <t>Are undocumented students eligible for need-based aid? 
Yes, through the FAFSA if you are Dream Act eligible.
If need-based aid is not available, is there a feasible path undocumented students can take to pay for their education with stackable merit scholarships, loans and/or grants from your school? 
Although we do our best to provide aid for students, we are unable to match all students' need.
What would be the requirements for such scholarships and what would a student's chances of getting them? ​
All admitted students will be considered for financial aid if they choose to apply. The most important component of our consideration is your portfolio.</t>
  </si>
  <si>
    <t>Are there organized groups or clubs comprised of or advocating for undocumented students in your school? 
Our DEI office and Financial Aid Offices have staff focused on undocumented student needs.
How often does your office receive applications from undocumented students? 
​Only a small percentage of our students are undocumented.
Does your school allow Immigration and Customs Enforcement (ICE) officers onto campus without a warrant? ​
No
Does the campus police enforce immigration law? 
We do not have campus police
Does your school share student immigration status with ICE? 
We do not share student statuses with ICE
Does your school provide distance-learning options for deported students to complete their degrees? 
ArtCenter is offering full-time online classes at this time, but during most times of the year, we only offer in-person classes. 
Does your school provide confidential legal support to students with immigration law questions and issues? 
​ArtCenter does not have immigration lawyers but can provide contacts should the need arise.</t>
  </si>
  <si>
    <t>artcenter</t>
  </si>
  <si>
    <t>Are undocumented students considered international or domestic? 
International students
Are you need-blind for undocumented students? 
Yes, we are need-blind for undocumented students
Are there any restrictions on merit aid for undocumented students at your school?
No restrictions on merit scholarships.
Does your school provide merit aid specially for undocumented students?
No merit aid specifically for undocumented students.
Would you advice an undocumented student to reveal their status in their application or subsequent email? 
Revealing status is one of the only ways a student will ever know if an institution offers financial assistance for undocumented students, but ultimately, it is up to the student whether or not to disclose. Once you have let us know about this status, we will seek discounted fee structure with our student financial services. 
How would their status affect their application?? 
Status will not affect how we review an applicant, although status will dictate how we code a student: In state, out of state, or international student.
Is there a special contact point for undocumented students? 
If not on a universities’ front facing web pages, students can contact an institutions financial aid office to inquire whether or not an institution has funding for undocumented students.</t>
  </si>
  <si>
    <t>Find more information here:
https://sites.udel.edu/studentlife/daca/</t>
  </si>
  <si>
    <t>Counselling resources for undocu students
https://sites.udel.edu/counseling/daca/</t>
  </si>
  <si>
    <t>udel</t>
  </si>
  <si>
    <t>Are undocumented students considered international or domestic?
Undocumented students will be technically classified as international in our process, particularly for need-based financial aid consideration. However, we understand and review the application in the context of an undocumented student growing up and living in the US.
Are you need-blind for undocumented students?
We are need-aware for all students. We meet full demonstrated need with financial aid packages for any students who are admitted, including undocumented students.
Are there any restrictions on merit aid for undocumented students at your school?
No.
Does your school provide merit aid specially for undocumented students?
No. Undocumented students are eligible for the same offering of merit scholarships as all other students.
Would you advice an undocumented student to reveal their status in their application or subsequent email?
We do not compel undocumented students to reveal their status in an application or email, and we will not officially record a student’s status as “undocumented” unless they are DACA. However, if the student does share an indication they are undocumented, the context of a student being undocumented can help in understanding any barriers a student may have faced.
How would their status affect their application?If an undocumented student requires a high amount of need-based financial aid, admission will become more competitive, since we will need to provide institutional funding.
Is there a special contact point for undocumented students?
Not at the moment – all our counselors can serve to answer questions from undocumented students.
What other piece of advice would you give an undocumented student hoping for admission at your school?
Taking advantage of an interview (in person or virtual) can be very helpful to your application. We are supportive of students from all backgrounds, and have advisors and a community that can support the needs of undocumented students on our campus.</t>
  </si>
  <si>
    <t>Are undocumented students eligible for need-based aid?
Yes, though it is very competitive.
What financial aid application should undocumented students send? The CSS, FAFSA, ISFAA or a form unique to your school?
CSS Profile. Students may connect with our Office of Financial Aid to see if the FAFSA would be helpful to submit depending on personal circumstances (some states will use the FAFSA to award state grants to undocumented students).</t>
  </si>
  <si>
    <t>Are there organized groups or clubs comprised of or advocating for undocumented students in your school?
We have many social justice advocacy groups on campus, not sure we have one specific for undocumented student advocacy.
How often does your office receive applications from undocumented students?
Several every year.
Does your school allow Immigration and Customs Enforcement (ICE) officers onto campus without a warrant?
No. Additional guidance on our policy for interactions with federal agents: https://www.trincoll.edu/dean-of-students/daca-undocumented-students/federal-immigration-agents/
Does the campus police enforce immigration law?
No.
Does your school share student immigration status with ICE?
No, unless compelled by court order: https://www.trincoll.edu/dean-of-students/daca-undocumented-students/
Does your school provide distance-learning options for deported students to complete their degrees?
We have not yet encountered this situation.
Does your school provide confidential legal support to students with immigration law questions and issues?
Yes.</t>
  </si>
  <si>
    <t>trincoll</t>
  </si>
  <si>
    <t>Are undocumented students considered international or domestic?
Students do not need to hold a particular status to apply to George Fox. As we do not have in-state or out-of-state tuition, status would not change cost between an international or domestic student.
https://www.georgefox.edu/college-admissions/scholarships/index.html
Are there any restrictions on merit aid for undocumented students at your school?
No, undocumented students have access to the merit scholarship opportunity.
https://www.georgefox.edu/college-admissions/scholarships/index.html
Does your school provide merit aid specially for undocumented students?
No, however, undocumented students have access to some institutional aid scholarships.
Would you advice an undocumented student to reveal their status in their application or subsequent email?
A student is welcome to share information to the level they are comfortable. Current status is not required during the admissions process. If a student decides to move forward, connected information may be needed for aid eligibility purposes.
How would their status affect their application??
It would not impact as we practice a holistic review with one of the main determinants being academics and overall GPA.
https://www.georgefox.edu/college-admissions/apply/index.html
Is there a special contact point for undocumented students?
No, there are various point-people across departments for different resources and stages of the student experience.
What other piece of advice would you give an undocumented student hoping for admission at your school?
Focus on your academic success, stay connected, apply to scholarships, and ask questions.</t>
  </si>
  <si>
    <t>Are undocumented students eligible for need-based aid?
DACA students are eligible for all aid including need-based internal aid.
What financial aid application should undocumented students send? The CSS, FAFSA, ISFAA or a form unique to your school?
Undocumented students in Oregon would be encouraged to complete the ORSAA.
If need-based aid is not available, is there a feasible path undocumented students can take to pay for their education with stackable merit scholarships, loans and/or grants from your school?
Need-based aid is available but students are additionally encouraged to apply to external scholarships as well.
What would be the requirements for such scholarships and what would a student's chances of getting them?
The percentage of getting a specific scholarship, as well as, the amounts received varies by scholarship. For many of our internal scholarships, the student does not need to apply each year as they are awarded for all four years.</t>
  </si>
  <si>
    <t>Are there organized groups or clubs comprised of or advocating for undocumented students in your school?
We have a number of multicultural organizations and clubs but currently there is not one specific group comprised for undocumented students.
https://www.georgefox.edu/offices/intercultural/multicultural-student-development/organizations.html
https://www.georgefox.edu/offices/student-life/student-involvement/clubs/index.html
Does your school provide distance-learning options for deported students to complete their degrees?
Our institution has an online learning platform that is designed to host a student's first year online with the three remaining years on-campus through George Fox Digital.
https://www.georgefox.edu/college-admissions/academics/online/index.html</t>
  </si>
  <si>
    <t>georgefox</t>
  </si>
  <si>
    <t>Are undocumented students considered international or domestic? International 100%
Are you need-blind for undocumented students? NO
Are there any restrictions on merit aid for undocumented students at your school? Ineligible for any scholarship which is funded by State or Fed funds
Does your school provide merit aid specially for undocumented students? none
Would you advise an undocumented student to reveal their status in their application or subsequent email? Because of the Tennessee Eligibility Verification for Entitlements Act (EVEA) became effective on October 1, 2012. The EVEA requires state public institutions of higher education to verify that persons seeking a “state public benefit” are either a “United States citizen” or “lawfully present” in the United States. 
How would their status affect their application?t will not affect the admissions decisions.
Is there a special contact point for undocumented students? All go through the International Education department
What other piece of advice would you give an undocumented student hoping for admission at your school? Be honest, many argue with the department on their status, when we are required to see those documents to determine eligibility.</t>
  </si>
  <si>
    <t>Are undocumented students eligible for need-based aid?
None are available for any non-USA citizen
If need-based aid is not available, is there a feasible path undocumented student can take to pay for their education with stackable merit scholarships, loans and/or grants from your school?
They can apply for non-state / federal scholarships, they are very few
What would be the requirements for such scholarships and what would a student's chances of getting them?
Some departments have endowed scholarships which would be eligible.</t>
  </si>
  <si>
    <t>Are there organized groups or clubs comprised of or advocating for undocumented students in your school?
no
How often does your office receive applications from undocumented students? 
few
Does your school allow Immigration and Customs Enforcement (ICE) officers onto campus without a warrant? 
No, must do such request via Tech attorney
Does the campus police enforce immigration law? 
no
Does your school share student immigration status with ICE? 
Only F-1 and J-1 visa holders, under their jurisdiction
Does your school provide distance-learning options for deported students to complete their degrees? 
Never happened
Does your school provide confidential legal support to students with immigration law questions and issues? 
We cannot provide immigration law information-as we do not have any immigration attorney on staff or retainer.</t>
  </si>
  <si>
    <t>Tennessee Tech University is a STATE FUNDED institution and with that comes many Federally mandated items which we must follow. i.e. we cannot employ or support anyone who is undocumented is one of those items.
Undocumented students, have 100% the legal right to study like all residents of the USA, but as a State funded institution, we are not allowed to use State or Federal funds to cover the cost of tuition for any undocumented student.</t>
  </si>
  <si>
    <t>tntech</t>
  </si>
  <si>
    <t>Are undocumented students considered international or domestic?
- Domestic and we bill them as "in-state" students.
Are you need-blind for undocumented students?
- Since undocumented students cannot file a FAFSA or receive institutional aid, we offer foundational aid to this population.
Are there any restrictions on merit aid for undocumented students at your school?
- See question above.
Does your school provide merit aid specially for undocumented students?
- Foundational aid.
Would you advice an undocumented student to reveal their status in their application or subsequent email?
- Students can reveal their status in which ever channel they feel most comfortable.
How would their status affect their application?- It will not affect their application - just financial aid.
Is there a special contact point for undocumented students?
- Undocumented students can contact their direct admission counselor, myself or anyone that they feel comfortable with on the admissions team. All of the Admission Office team members information can be found here: https://www.fitchburgstate.edu/admissions-aid/connect-admissions
What other piece of advice would you give an undocumented student hoping for admission at your school?
- Do not think that your undocumented status will hold you back from admission, reach out to a member of our team to learn all that the University has to offer for your unique circumstances.</t>
  </si>
  <si>
    <t>It is important to note that many of the processes for our undocumented students are on a case by case basis rather than a standardized practice.</t>
  </si>
  <si>
    <t>fitchburgstate</t>
  </si>
  <si>
    <t>Are undocumented students considered international or domestic?
Domestic students 
Are you need-blind for undocumented students?
We are need blind for all domestic undergraduate students.
Are there any restrictions on merit aid for undocumented students at your school?
There is no institutional, state or federal need-based aid for undocumented students 
Does your school provide merit aid specially for undocumented students?
There is no institutional, state or federal need-based aid for undocumented students
Would you advice an undocumented student to reveal their status in their application or subsequent email?
This status would not hurt their admission. 
How would their status affect their application??
Students' undocumented status does not affect their application for admission 
Is there a special contact point for undocumented students?
No
What other piece of advice would you give an undocumented student hoping for admission at your school?
UCA is welcoming to all students</t>
  </si>
  <si>
    <t>Are undocumented students eligible for need-based aid?
There is no institutional, state or federal need-based aid for undocumented students
If need-based aid is not available, is there a feasible path undocumented students can take to pay for their education with stackable merit scholarships, loans and/or grants from your school?
Private Scholarships and or the institutional payment plan is available to the undocumented student.
What would be the requirements for such scholarships and what would a student's chances of getting them?
Varies depending upon the scholarship. Undocumented students are eligible to set up a payment plan.</t>
  </si>
  <si>
    <t>Are there organized groups or clubs comprised of or advocating for undocumented students in your school?
There are not any groups that specifically work to support or advocate for undocumented students. However, several of our culturally based student organizations would be doing related work or advocating, within their specific populations. You can view the list of our Cultural organizations on CubConnect at this link: https://uca.campuslabs.com/engage/organizations?categories=12776 
How often does your office receive applications from undocumented students?
This is not information specifically tracked by this institution.
Does your school allow Immigration and Customs Enforcement (ICE) officers onto campus without a warrant?
We allow all federal and state agencies, as well as visitors, on campus without a warrant. 
Does the campus police enforce immigration law?
UCA PD does not proactively enforce immigration such as a random checking of student documentation, but is required to notify ICE if a student that has been arrested as an illegal status. 
Does your school share student immigration status with ICE?
No 
Does your school provide distance-learning options for deported students to complete their degrees?
Academic advisors assist any student who is not able to physically participate in classes on campus. 
Does your school provide confidential legal support to students with immigration law questions and issues?
No</t>
  </si>
  <si>
    <t>uca</t>
  </si>
  <si>
    <t>The application does ask students to disclose citizenship status. Students who do not hold U.S. citizenship or permanent resident status would be considered international students at Carolina. More information on the international student application process may be found at: https://admissions.unc.edu/apply/international-students/. When reviewing applications for admission, we do review need-blind.
We understand that students travel many different roads to get to Carolina, and we celebrate the variety of interests, backgrounds, and aspirations that they bring with them. At the same time, it's fair to say that we seek excellence. We focus first on academic excellence, using a variety of information-courses, grades, test scores, recommendations, essays-to help us assess performance and potential. Because of the holistic nature of our review, there is no formula for admission--no one is automatically admitted or denied because of a single number or factor. We read applications in a thoughtful manner, as we work to understand each student individually. In seeking students who will contribute to our community and benefit from the Carolina experience, we need to know much more than just grades or test scores.
We're committed to a safe and welcoming environment for students and we want to see students thrive and complete their education at Carolina.</t>
  </si>
  <si>
    <t>We are committed to access and affordability for all of our students and our tuition and fees are among the lowest in the nation. International students (those who do not hold US citizenship or permanent resident status) should understand, however, that they are not eligible to receive need-based financial aid and should be prepared to pay the full cost of attendance. We are able to consider international students for a very limited number of scholarships. There is no separate application for these scholarships as students are automatically considered when they apply. More information about the financial aid process for international students may found here https://studentaid.unc.edu/special-circumstances/international-students/.</t>
  </si>
  <si>
    <t>Thank you for your interest in learning more about Carolina. We know that students manage a lot of nuance and detail as they're applying to colleges and we want to be a resource that helps make the process more approachable. We welcome and encourage students to reach out to us directly so we can help with their specific questions. Anyone on our team would be able to speak with students and families about the admissions process by phone or email at 919-966-3621 or unchelp@admissions.unc.edu.</t>
  </si>
  <si>
    <t>unc</t>
  </si>
  <si>
    <t>Are undocumented students considered international or domestic?
It depends on where they live. If they live in Texas and graduated from a Texas High School, They can be considered domestic. All other undocumented students are intl
Are you need-blind for undocumented students?
Yes
Are there any restrictions on merit aid for undocumented students at your school?
There are restrictions on few merit aid awards
Does your school provide merit aid specially for undocumented students?
Yes
Would you advice an undocumented student to reveal their status in their application or subsequent email?
Yes. Undoc students should reveal their status to receive appropriate help.
How would their status affect their application??
It does not, as far as admission goes. It will affect their student life, however.
Is there a special contact point for undocumented students?
There is not within the admissions office. Most students reach out to the intl admissions office with questions.
What other piece of advice would you give an undocumented student hoping for admission at your school?
To complete their application in its entirety.</t>
  </si>
  <si>
    <t>Are undocumented students eligible for need-based aid? 
Yes, state and institutional if they are meeting requirements. You must submit a financial aid application. https://financialaid.tamu.edu/Apply
What financial aid application should undocumented students send? The CSS, FAFSA, ISFAA or a form unique to your school? 
You will complete the TASFA.
If need-based aid is not available, is there a feasible path undocumented students can take to pay for their education with stackable merit scholarships, loans and/or grants from your school? 
You can still be reviewed for scholarships by completing a scholarship application. For a list of available scholarships please see the link below. https://scholarships.tamu.edu/
What would be the requirements for such scholarships and what would a student's chances of getting them? 
Please see the above bullet point.
Scholarships are usually based on need, GPA, High School rank, and test scores if you choose to submit. When reviewing students for scholarships we look at the whole student (academically and non-academically) when awarding our scholarships. Some of the criteria we look at includes but is not limited to test scores, GPA, academic achievement, rigorous course load, extracurricular activities, leadership, community service, honor, and awards (academic and non-academic), commitment and longevity, special talent, employment, achievement under difficult circumstance, and/or financial need.</t>
  </si>
  <si>
    <t>tamu</t>
  </si>
  <si>
    <t xml:space="preserve">Are undocumented students considered international or domestic?
They are evaluated within the context of a domestic applicant from their place of residence, but they will be assigned to an admissions counselor who works with undocumented and international students. This is to help connect them with a counselor who has a stronger background on immigration concerns, but they are admitted as a “domestic” student for the purposes of application review. 
Are you need-blind for undocumented students?
We don’t admissions decisions based off of economic/financial situations. Our admissions is more based off of academic history. 
Are there any restrictions on merit aid for undocumented students at your school?
All students are eligible for FSC’s standard merit scholarships regardless of documentation status. There are a few specific scholarships that have a citizenship requirement, but most of FSC’s merit aid will not factor status into the scholarship award. 
Does your school provide merit aid specially for undocumented students?
No but our academic merit aid is offered to all students regardless of citizenship status. 
Would you advice an undocumented student to reveal their status in their application or subsequent email? How would their status affect their application??
Yes - please contact us so that we can help direct you to resources and ensure that we’re giving you accurate information. It will not be used in your application or decision process in any way and will only be shared to ensure that you are receiving relevant support. If you are uncomfortable disclosing your status in your application, you’re welcome to call us.
Is there a special contact point for undocumented students?
You would use the international admissions counselors.
What other piece of advice would you give an undocumented student hoping for admission at your school? Most schools are open to enrolling undocumented student but check with each school. The process can be different with a public school vs a private school and policies within each state also vary.
</t>
  </si>
  <si>
    <t>Are undocumented students eligible for need-based aid?
Yes, on a case-by-case basis. They are not eligible for federal student aid by federal policy, but they can still submit the FAFSA for us to potentially award institutional need-based aid. FSC does not currently offer full need.
What financial aid application should undocumented students send? The CSS, FAFSA, ISFAA or a form unique to your school? 
FAFSA. Refer here for additional information on undocumented students and federal aid: https://studentaid.gov/sites/default/files/financial-aid-and-undocumented-students.pdf 
If need-based aid is not available, is there a feasible path undocumented students can take to pay for their education with stackable merit scholarships, loans and/or grants from your school? 
All merit scholarships are stackable at FSC, but most students will not receive aid that completely covers the cost of attendance and would need to seek out private loans or outside scholarships to cover full cost if their families can’t pay out of pocket. The average financial aid award at FSC covers approximately half of the cost of attendance (tuition, room, meals and medical insurance). FSC does not work directly with any loans besides the Federal Direct and Parent PLUS loans, which undocumented students are generally not eligible to take. 
What would be the requirements for such scholarships and what would a student's chances of getting them?
Merit scholarships are determined based on academic record and most students are awarded a scholarship at time of admission. The Prestige and Premier Scholarships typically have rough GPA and SAT/ACT scores as a guideline, but were test-optional last year. The Prestige and Premier Scholarships typically receive about 500 applications, interview around 120 students, and award 8 to 10 Hollingsworth Scholarships (full-ride/full-cost) or McClurg Scholarships (full tuition). Other applicants and interviewees may receive Christoverson Scholarships of varying amounts. 
An example of a student with stacked scholarships:
High academic achieving, graphic design, swimmer:
This student received a merit based, christoverson (prestige), talent scholarship (graphic design) and swim scholarship for athletics.</t>
  </si>
  <si>
    <t>Are there organized groups or clubs comprised of or advocating for undocumented students in your school?
Multicultural Student Council isn’t directly advocating for undocumented students solely but this is a club that has done so in the past. https://www.flsouthern.edu/campus-offices/multicultural-center/multicultural-student-council.aspx
How often does your office receive applications from undocumented students? 
The state of Florida has a large sum of undocumented students compared to other states and so we do get a fair amount. However, we are a private institution so we don’t get as many as a public school where some of those students may be offered in state tuition.
Does your school allow Immigration and Customs Enforcement (ICE) officers onto campus without a warrant? 
I have never witnessed this happened in my time as an admissions counselor. I took this from ACLU:
“ICE and CBP maintain a policy which provides that they will not engage in immigration enforcement in sensitive locations like schools absent prior approval by a supervisor or exigent circumstances. This policy has recently been reaffirmed by the Department of Homeland Security. This means that ICE and CBP generally will not arrest, interview, search, or surveil a person for immigration enforcement purposes while at a school, a known school bus stop, or an educational activity.”
Does the campus police enforce immigration law? 
That is not their primary focus. Their focus is campus safety. I will say that the FSC police on our campus are part of the Lakeland Police and because of this, they would have to enforce their laws if the situation arises, but again, this is not their focus while on campus.
Does your school share student immigration status with ICE? 
We do not have to share this information. We only share the F-1 student visa information to them.
Does your school provide distance-learning options for deported students to complete their degrees?
Fundamentally, FSC is an in-person institution and does not offer much in the way of fully remote coursework for undergraduate programs. This would be handled on a case-by-case basis and would likely depend on the individual student’s particular situation. 
Does your school provide confidential legal support to students with immigration law questions and issues?
No - while FSC may be able to help direct students to outside legal counsel on a case-by-case basis, FSC does not retain an immigration lawyer on staff.</t>
  </si>
  <si>
    <t>flsouthern</t>
  </si>
  <si>
    <t>https://mosaic.uccs.edu/dreamer-student-resources-0</t>
  </si>
  <si>
    <t>uccs</t>
  </si>
  <si>
    <t>Are undocumented students considered international or domestic? Students would be considered domestic. Students who are applying internationally would go through our international admission process.
Students can submit an application at nl.edu/apply
Are you need-blind for undocumented students? No, we will focus on a students GPA to provide an admission decision.
Are there any restrictions on merit aid for undocumented students at your school? No we do not. We accept the Alternative Application through the RISE Act where students can use the assistance to pay for their tuition.
Does your school provide merit aid specially for undocumented students? In addition to the Alternative Application, we partner with the Dream.US to provide a scholarship opportunity to multiple students.
We also have an institutional based scholarship for undocumented students, called Eagle Dream that we provide to multiple students every academic school year.
Would you advice an undocumented student to reveal their status in their application or subsequent email? If the student is comfortable with disclosing their status on the application, they are able to do so. This is optional, and it is only used to help make sure we are sharing important scholarship and alternative application information to them.
How would their status affect their application?t will not affect their application.
What other piece of advice would you give an undocumented student hoping for admission at your school? We are a strong ally for our undocumented students and work everyday to make sure they are feeling supported and have access to their necessary resources on a day to day basis. Our mission is to serve our students and as a small school we make sure each student is supported and treated as an individual and not a number.
We also partner with our local community organizations to assure that our students can receive support both in the school and within their community. More information can be found on our website https://nl.edu/student-services/diversity-and-inclusion/immigration-resources/</t>
  </si>
  <si>
    <t>Are undocumented students eligible for need-based aid? Students are able submit the alternative application through the RISE act. At NLU we make sure students get a clear understanding on how much support this can provide and receive information on the scholarship opportunities they can receive through NLU.
What financial aid application should undocumented students send? The CSS, FAFSA, ISFAA or a form unique to your school? If eligible, students should submit the alternative application through the RISE Act,(this can be found through the FAFSA website) and are able to meet with their student finance representative for support on their next steps in financial planning.
If need-based aid is not available, is there a feasible path undocumented students can take to pay for their education with stackable merit scholarships, loans and/or grants from your school? Students can definitely stack outside and institutional based scholarships to help cover their school tuition. At National Louis each student will meet with their student finance rep in order to discuss their options and the many ways in which they can have a feasible path towards paying for their education.
What would be the requirements for such scholarships and what would a student's chances of getting them? The Dream. US scholarship requirements can be found at the link below
https://www.thedream.us/scholarships/national-scholarship/guidelines/
Our institutional based scholarships, the Eagle Dream along with the others that undocumented students can also apply for, is below:
https://nl.edu/undergraduate-college/programs/first-time-freshman/scholarship/</t>
  </si>
  <si>
    <t>Are there organized groups or clubs comprised of or advocating for undocumented students in your school? Yes! Our office of student life provides information and access to resources to help create a welcoming environment for our undocumented students.
We have a student led organization that provides advocacy and support to DACA and undocumented students. The organization is called "National Louis Dreamers United".
How often does your office receive applications from undocumented students? We receive applications very often, every school year we receive a fair amount of applications.
Does your school allow Immigration and Customs Enforcement (ICE) officers onto campus without a warrant? No we do not. We are a safe school and do not share out any information pertaining to our students legal status.
Does the campus police enforce immigration law? We do not have on campus police.
Does your school share student immigration status with ICE? No, NLU does not share any information with ICE and we are a safe sanctuary for our students.
Does your school provide distance-learning options for deported students to complete their degrees? We do offer online programs, therefore this can be an option for students if necessary and depending on their case.
Does your school provide confidential legal support to students with immigration law questions and issues? Unfortunately we do not have an on campus legal clinic but we do provide resources for students to connect to legal services.</t>
  </si>
  <si>
    <t>Students are able to contact their enrollment specialist or they can reach out to me at jperez43@nl.edu</t>
  </si>
  <si>
    <t>nl</t>
  </si>
  <si>
    <t>I see that you have listed many questions that you wish to have answers prior to applying to UHV. The questions are in different areas, such as Admissions, International Programs, Financial Aid, Student Life, Title IX, Housing and Campus Police. I can totally relate to complexities of the application process for U.S. colleges/ Universities as I was or still am an International student myself. I was 16 when I started the research on universities, the admissions, financial aid, and lot similar questions which you are asking below. Coming from a different academic background, all the information was a puzzle to me.
What we can do is, we can arrange a virtual meeting for you and possibly a workshop to assist you how to complete the application, how apply for TAFSA, Financial Aid and grants as well as answer all of your questions which you stated below. We can answer yours, your family’s questions in English, Spanish or both or check if we can host in other languages. We can arrange this meeting in less than 24 hours or the virtual meeting can be on the same day.
It is absolutely easy to answer your questions in an email. It will be a long email with multiple pages and paragraphs. Reading the answers in an email and reading the information on a website is the same. Some questions cannot be answered in one sentence with a bullet point. UHV strives in providing one-on-one attention to all of our students. This is why UHV is unique and why students selects UHV. Meeting and talking to you will give us an opportunity to meet with you and help you to navigate the complex application and possibly connect you with other DACA/ Undocumented students (with their permission) for you to ask questions yourself and build a network prior to enrolling at UHV. You can visit our Virtual Lobby online or schedule a virtual meeting, all you have to do is follow the links mentioned. If you wish to talk to an official at each of the departments which I mentioned above then let me know few dates/ and times and I can coordinate the meeting (herathl@uhv.edu). You may have many friends who are also DACA/ Undocumented students. You are welcome to invite your friends who are DACA/ Undocumented, parents and families and we can host a workshop either virtually or face-2-face. We can host the meeting in English, Spanish or both. If there are other language preferences we can check if we have faculty members to assist with other languages. We have faculty and students from Bangladesh, China, India, Jordan, Lebanon, Brazil, Mexico, Nigeria, Sierra Leon, Kenya, Japan, South Korea, Sri Lanka, Pakistan, and many more. Before COVID, International Programs and UHV Admissions hosted numerous workshops for DACA/ Undocumented students and their families as well as mentored undocumented students for work related experience or in other words job shadow experience.
I encourage you to complete your research among other Texas institutions as well as out-of-state institutions to get a comprehensive knowledge of how the application, financial aid and student life works at U.S. colleges and institutions as well as to check the best package you can receive for your academic, and professional credentials to pursue your academic endeavors.
I am looking forward to hearing from you. Please follow the link mentioned below to visit the Virtual Zoom Lobby or to schedule a virtual or face-2-face meeting or let me know (herathl@uhv.edu) a few dates/ and times and I can schedule a meeting with other staff members for you get all of your questions answered the same time.
The International Virtual Lobby (https://uhv.zoom.us/j/99837658466) is open Monday to Friday between 8 a.m. to 5 p.m. Central Standard Time. Face-2-face meetings are available by appointment only. To schedule a face-2-face or virtual appointment visit Bookings (https://outlook.office365.com/owa/calendar/InternationalProgramsAdmissionsandInternationalStudentServices@student.uhv.edu/bookings/).</t>
  </si>
  <si>
    <t>uhv</t>
  </si>
  <si>
    <t>https://www.usu.edu/admissions/apply/</t>
  </si>
  <si>
    <t>https://www.usu.edu/scholarships/undocumented-student-resources</t>
  </si>
  <si>
    <t>https://www.usu.edu/inclusion/advocacy/index</t>
  </si>
  <si>
    <t>usu</t>
  </si>
  <si>
    <t>https://www.hawaii.edu/undocumented-students/</t>
  </si>
  <si>
    <t>Undocumented students are ineligible for federal student aid. However, go to https://www.hawaii.edu/undocumented-students/ to find more information on resources you may want to look into.  You may also want to visit our scholarships page (https://www.hawaii.edu/fas/info/scholarships.php) to see if any scholarships are still open. Although many scholarship deadlines have passed, you may still browse through the resources for any scholarships that are still available. You may "stack" scholarships up to your cost of attendance as permitted by the respective scholarship providers. Please note that each scholarship's criteria will vary. Some may have citizenship requirements while other scholarships may not. We are unable to provide a statistic for your chances of receiving scholarships.
Per the studentaid.gov website (https://studentaid.gov/understand-aid/eligibility/requirements/non-us-citizens), Yes, there may be some scholarships and other aid you can get.
•	Check with your country’s embassy or a consulate here in the U.S. or with the appropriate government office back in your country to see what they offer.
•	Try the U.S. Department of Labor’s free online scholarship search (https://www.careeronestop.org/toolkit/training/find-scholarships.aspx). 
•	Ask the college or career school you plan to attend whether they offer any aid for students like you. (*see links above for more information*)
•	Check out the Education USA (https://educationusa.state.gov/find-advising-center) website.</t>
  </si>
  <si>
    <t>Are there organized groups or clubs comprised of or advocating for undocumented students in your school?
We have no knowledge of any group on our campus that has organized themselves specifically advocate for undocumented students.  Since we do not track undocumented students, we have not datas related to whether or not they are engaged with any student groups or clubs, including those that advocate for students.  Our institution has groups that engage in student advocacy.  They may or may not decided to advocate for undocumented students.  While we do not have the document on hand, approximately 8-10 years ago, the undergraduate student government passed a resolution in support of undocumented students.  For more information, please write directly to the Associated Students of the University of Hawaii at Manoa at asuh@hawaii.edu.  I could not locate the resolution from what they currently have posted on their website.  If the document is desired, it would need to be requested and pulled from their archives.</t>
  </si>
  <si>
    <t>hawaii</t>
  </si>
  <si>
    <t>Are undocumented students considered international or domestic? Undocumented Students will be considered as “Out -of-State” and not International.
Are you need-blind for undocumented students? Yes, we do not consider applicants financial situation for admission.
Are there any restrictions on merit aid for undocumented students at your school? We offer some scholarships based on Merit and regardless of residency status, but very few.
Does your school provide merit aid specially for undocumented students? Unfortunately, we do not. However, we offer external resources and few internal scholarships students may apply to (primarily for students that self-identify as Latinx).
Would you advice an undocumented student to reveal their status in their application or subsequent email? We do not ask students to write or fill out a form to reveal their status if they are undocumented. We do advise students to let the Admissions Office know via a phone call or email so we do not accidentally code the student as International.
How would their status affect their application?tatus? does not affect their application as long as students meet the GPA and test scores requirements. 
What other piece of advice would you give an undocumented student hoping for admission at your school? Connect with us (Admissions) as early as possible to see what options we have! We keep cost very affordable for students and we offer online degrees in which the tuition is the same for in-state and out-of-state students.</t>
  </si>
  <si>
    <t>Are undocumented students eligible for need-based aid? Depending on how much funds we have for students, there is a chance students may receive an institutional scholarship for being first-generation.
What financial aid application should undocumented students send? The CSS, FAFSA, ISFAA or a form unique to your school? Unfortunately, we do not recommend undocumented students to complete the FAFSA since we cannot process it. This is a policy for public institutions in Georgia. 
If need-based aid is not available, is there a feasible path undocumented students can take to pay for their education with stackable merit scholarships, loans and/or grants from your school? Yes! We offer Associate Pathway and UNG Online which is at a reduce tuition cost and is at a lower cost for students to complete their college education. Students can apply for the few scholarships we do offer and they typically can help cover half to a whole semester.
What would be the requirements for such scholarships and what would a student's chances of getting them? Right now most of our scholarships that do not require residency status, are for students that identify as Latinx and require a GPA between 2.5-3.0.</t>
  </si>
  <si>
    <t>Are there organized groups or clubs comprised of or advocating for undocumented students in your school? While we do not have specific groups and/ or clubs that advocate for undocumented students, we do have clubs and offices that support undocumented students. We have the Latin America Student Organization (LASO), The Office of Multicultural Student Affairs (MSA), UNG Latinx Faculty and Staff Committee, and UNG First Gen. 
How often does your office receive applications from undocumented students? Our office receives a good number of applicants. On average, I speak to 15-20 students that are undocumented every semester.
Does your school allow Immigration and Customs Enforcement (ICE) officers onto campus without a warrant? Typically, our UNG Officers would like to see a warrant before allowing ICE on campus.
Does the campus police enforce immigration law? No, their jurisdiction states that they only handle the following: Alcohol and Substance Abuse Information, Alcoholic Beverages on Campus, Illegal drugs, Campus Access, reporting crimes, and security awareness.
Does your school share student immigration status with ICE? Yes, for students with visas like F-1, however we do not track information on students being undocumented. For this purpose, we code students as “out-of-state.”
Does your school provide distance-learning options for deported students to complete their degrees? Yes, we offer a variety of classes via distance learning but will depend on the major students select.
Does your school provide confidential legal support to students with immigration law questions and issues? As an institution we do not. However, we do offer emotional support and external resources for students to connect with for legal support regarding immigration.</t>
  </si>
  <si>
    <t>Leri Argueta, Leri.Argueta@ung.edu, Associate Director for Diversity Recruitment</t>
  </si>
  <si>
    <t>Yes</t>
  </si>
  <si>
    <t>ung</t>
  </si>
  <si>
    <t xml:space="preserve">As for admissions. Undocumented students will follow our regular university admission requirements. You can find those requirements here: https://dsu.edu/admissions/undergraduate/how-to-apply/undergraduate-admissions-requirements.html. Their status does not affect admission decisions.
</t>
  </si>
  <si>
    <t>As for financial aid, undocumented students do not qualify for aid at DSU as our financial aid office primarily offers state and federal aid options. Because of that, they will not qualify as they are not US citizens. They may qualify for scholarships if they meet the merit based qualifications.</t>
  </si>
  <si>
    <t>Our clubs at DSU are student developed and ran, and we currently do not have any clubs based on status. I am currently unaware of our institution having to provide information about immigration.</t>
  </si>
  <si>
    <t>No</t>
  </si>
  <si>
    <t>dsu</t>
  </si>
  <si>
    <t>Are undocumented students considered international or domestic? Domestic. 
Are you need-blind for undocumented students? Yes.
Are there any restrictions on merit aid for undocumented students at your school? No.
Does your school provide merit aid specially for undocumented students? No. They receive the same merit aid consideration as U.S. citizens and permanent residents.
Would you advice an undocumented student to reveal their status in their application or subsequent email? Yes. I recommend it because sometimes undocumented students are unintentionally recorded as international students due to computer system issues on the Pacific side. This means their application checklist will be populated with items they don’t need to supply, such as English language proficiency test scores. Identifying themselves as undocumented makes it easier for Pacific to correct their checklist.
How would their status affect their application?. No impact. 
What other piece of advice would you give an undocumented student hoping for admission at your school? Please consider applying for Pacific’s Powell Scholarship. It is our highest merit award but it does require a separate application that is due on December 1. The scholarship is for $43,000 a year and includes additional funds for studying abroad and undergraduate research.</t>
  </si>
  <si>
    <t>Are undocumented students eligible for need-based aid? No.
What financial aid application should undocumented students send? The CSS, FAFSA, ISFAA or a form unique to your school? None. Please encourage them to apply for the Cal Grant/Dreamer status.
If need-based aid is not available, is there a feasible path undocumented students can take to pay for their education with stackable merit scholarships, loans and/or grants from your school? The only stackable scholarships at Pacific are for music majors and student athletes. Unless the student is one of those, then it is challenging for undocumented students to pay for Pacific.
What would be the requirements for such scholarships and what would a student's chances of getting them?
Music: audition and apply for a music major. They can find more information on majors here: https://music.pacific.edu/music/music-major
Athletics: Pacific is a NCAA Division 1 School, so the students need to be the very best at their sport to be considered for athletic scholarships. Our coaches award all of the athletic scholarships, so it is recommended that the student complete a prospective athlete questionnaire for their specific sport and contact the coach about his/interest in playing for Pacific. Athletics information can be found here: https://pacifictigers.com/</t>
  </si>
  <si>
    <t xml:space="preserve">Are there organized groups or clubs comprised of or advocating for undocumented students in your school? Yes. Our Hispanic/LatinX support group is very active in advocacy.
How often does your office receive applications from undocumented students? We receive about 100 a year.
Does your school allow Immigration and Customs Enforcement (ICE) officers onto campus without a warrant? Yes.
Does the campus police enforce immigration law? No.
Does your school share student immigration status with ICE? Yes.
Does your school provide distance-learning options for deported students to complete their degrees? No. We do not offer any type of distance-learning unless it is an extreme circumstance, such as COVID-19.
Does your school provide confidential legal support to students with immigration law questions and issues? No. 
</t>
  </si>
  <si>
    <t>Kathleen Crisp kcrisp@pacific.edu.</t>
  </si>
  <si>
    <t>pacific</t>
  </si>
  <si>
    <t>Are undocumented students considered international or domestic?
Undocumented students are considered domestic students at Oberlin. 
Are you need-blind for undocumented students?
As an institution, we are need-aware, but all undocumented students can and are encouraged to apply for need-based institutional financial aid through the CSS Profile
Are there any restrictions on merit aid for undocumented students at your school?
All students, including undocumented students are eligible for our scholarships: music merit scholarships for conservatory applicants based on the audition, academic merit scholarships based on high school grades/academic achievement, and our $10k Commitment Scholarship (https://www.oberlin.edu/admissions-and-aid/financial-aid/applying-aid-prospective-students/oberlins-10000-commitment).
Would you advice an undocumented student to reveal their status in their application or subsequent email?
Undocumented students do not need to share their status, though it may be necessary to inform either the College or Conservatory Admissions Office to adjust any requirements typically asked of international students when applying. 
How would their status affect their application??
Undocumented status does not affect their acceptance into Oberlin. DACA status is not required for admission to Oberlin.
Is there a special contact point for undocumented students?
College applicants should be in contact with the counselor for the state the student lives in. conservatory applicants should be in touch with the Conservatory Admissions Office.
What other piece of advice would you give an undocumented student hoping for admission at your school?
Don't be afraid of reaching out with questions! Oberlin is partnered with Golden Scholars and has many resources on campus for undocumented students, including student organizations and a scholarship fund to help support students on campus. In addition, Oberlin is considered a sanctuary city.</t>
  </si>
  <si>
    <t>Are undocumented students eligible for need-based aid?
Yes! Oberlin is committed to meeting 100% of demonstrated need for admitted students.
What financial aid application should undocumented students send? The CSS, FAFSA, ISFAA or a form unique to your school?
The CSS Profile is the application to send to Oberlin, our code is 1587.
If need-based aid is not available, is there a feasible path undocumented students can take to pay for their education with stackable merit scholarships, loans and/or grants from your school?
As mentioned above, admissions scholarships are available for undocumented students who apply, dependent on the division they apply for (College of Arts &amp; Sciences or Conservatory of Music). Virtually all conservatory applicants receive some amount of scholarships and all students who enroll receive the commitment scholarship. We also have funds on campus to support our current students.</t>
  </si>
  <si>
    <t>Are there organized groups or clubs comprised of or advocating for undocumented students in your school?
Yes! Obies for Undocumented Inclusion is a student group that organizes events related to concerns of undocumented students. the El Centro Volunteer Initiative sponsor a variety of events to teach residents English &amp; help prepare for the US Citizenship exam, and the Multicultural Resource Center (MRC) acts as a hub to support undocumented (and other marginalized/BIPOC) students.
How often does your office receive applications from undocumented students?
This varies year to year.
Does your school allow Immigration and Customs Enforcement (ICE) officers onto campus without a warrant?
Any ICE or CBP officers should first be in contact with our director of Campus Safety if they do not have a warrant. Matters such as this are also handled with our Office of the Vice President, General Counsel and Secretary for legal purposes.
Does the campus police enforce immigration law?
Our campus safety officers are not charged with enforcing federal immigration law and do not make inquiries into individual citizenship status. Formal requests by other law enforcement agencies are first reviewed by the Director of Safety &amp; Security in consultation with the General Counsel and Security to ensure that the privacy interests of campus community members are fully protected. Similarly, the City of Oberlin, per its sanctuary status, will not seek to assist immigration authorities unless required by federal law.
Does your school share student immigration status with ICE?
Oberlin must comply with federal requirements associated with managing its authorized international student and scholar programs. it otherwise does not share sensitive information such as immigration status. We do not provide information on immigration status to anyone except when required by law.
Does your school provide distance-learning options for deported students to complete their degrees?
There is no clear answer on this at the time, though this year has introduced virtual/remote learning in new ways for our faculty and students which may be utilized for students who are not on campus for reasons outside of their control. In any regard, our faculty and staff are also extremely willing to work with students to ensure their success. 
Does your school provide confidential legal support to students with immigration law questions and issues?
No. However, the Multicultural Resource Center is the designated office to connect undocumented and DACA students to community and legal resources designed to serve the particular needs of this population. It is in the best interest that members of this vulnerable population be advised by immigration legal experts who can provide attorney-client privileged consultation to meet the unique needs of individual community members. The MRC has compiled a list of legal resources on their website.</t>
  </si>
  <si>
    <t>oberlin</t>
  </si>
  <si>
    <t>https://apply.nmsu.edu/portal/1on1videochat</t>
  </si>
  <si>
    <t>My name is David Cota, Sr. Admissions Advisor at NMSU. I will be providing you a link to our undocumented students and the types resources (financial, student life, etc…) they get at New Mexico State University.
Here’s information in a PDF on the admissions process:
https://chicano.nmsu.edu/files/2016/08/ISI-Website-Slides-Aug-2016.pdf
Resources for undocumented/daca students:
https://chicano.nmsu.edu/undocumented-daca-students/
All this information could be found at NMSU Chicano Programs website:
https://home-p.nmsu.edu/search_results.html?cx=003174599515884405122%3Aa7gnjdfior4&amp;ie=utf-8&amp;hl=en&amp;q=Chicano+&amp;sa=Go
If you would like to meet with me, go over this information and provide you any updates. Here’s a link to schedule a 1on1 video chat with me. I would be more than happy to assist you.
https://apply.nmsu.edu/portal/1on1videochat</t>
  </si>
  <si>
    <t>nmsu</t>
  </si>
  <si>
    <t>https://www.uvu.edu/studentaffairs/initiatives/</t>
  </si>
  <si>
    <t>uvu</t>
  </si>
  <si>
    <t>Are undocumented students considered international or domestic? They are not classified as international. 
Are you need-blind for undocumented students? Yes
Are there any restrictions on merit aid for undocumented students at your school? No
Does your school provide merit aid specially for undocumented students? No
Would you advice an undocumented student to reveal their status in their application or subsequent email? Yes, preferably directly to their admissions counselor who can guide them in the process.
How would their status affect their application?? It does not. If the student meets admissions criteria, they are considered for admissions.</t>
  </si>
  <si>
    <t>Are undocumented students eligible for need-based aid? Yes
What financial aid application should undocumented students send? The CSS, FAFSA, ISFAA or a form unique to your school? A form unique to our school. Contact Robert Perhacs at robert.perhacs@scranton.edu
If need-based aid is not available, is there a feasible path undocumented students can take to pay for their education with stackable merit scholarships, loans and/or grants from your school? Need and Merit aid all students are considered for.
What would be the requirements for such scholarships and what would a student's chances of getting them? Our scholarships are listed at www.scranton.edu/financialaid</t>
  </si>
  <si>
    <t xml:space="preserve">Are there organized groups or clubs comprised of or advocating for undocumented students in your school? We have a cross cultural center
How often does your office receive applications from undocumented students? Often, but usually less than 50 per year.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We do not offer distance learning degrees.
</t>
  </si>
  <si>
    <t>Stacey Urgento stacey.urgento@scranton.edu Admissions and Robert Perhacs reobert.perhacs@scranton.edu Financial Aid</t>
  </si>
  <si>
    <t>scranton</t>
  </si>
  <si>
    <t>Under the umbrella of the Office of Multicultural Affairs, the Support Services for Undocumented Students (SSUS) provides supports to ensure the retention and graduation of undocumented students at the University of Kansas. We are committed to serving our undocumented, DACAmented students and students from mixed-status families through a holistic approach and connecting them to resources such as professional guidance, academic support, legal services, counseling and psychological services, and other forms of individualized support. We strongly advocate generating a sense of community for all students that are undocumented or come from mixed immigration-status families. In partnership with university and community partners, we promote the accessibility and advancement for these students to reach their personal, academic and professional goals.
https://undocumented.ku.edu/</t>
  </si>
  <si>
    <t>ku</t>
  </si>
  <si>
    <t>https://www.uc.edu/about/international/admissions/apply/DACA.html</t>
  </si>
  <si>
    <t>uc</t>
  </si>
  <si>
    <t>Are undocumented students considered international or domestic?
They are considered international depending if the qualify for the following:
• If you are a Wisconsin Resident and meet our Tuition Remission Criteria
• If you are part of our Midwest Student Exchange Program (MSEP)
• Otherwise you would be considered non-resident and pay the cost of tuition our non-resident would pay
Are you need-blind for undocumented students?
Once you are admitted you are a student and you get all the same privileges a students get regardless of your status using your school id
Are there any restrictions on merit aid for undocumented students at your school?
There are some scholarships that require FAFSA app filled to determine need while others only require proof of enrollment so there are some restrictions
Does your school provide merit aid specially for undocumented students?
No we do not offer any scholarships specifically for undocumented students but are looking to see if we can establish one.
Would you advice an undocumented student to reveal their status in their application or subsequent email?
It is up to the comfort level of the student but we may follow up to clarify if we have questions
How would their status affect their application??
It would only determine their status to determine their cost
Is there a special contact point for undocumented students?
If students have questions, they can contact me directly (delgadoe@uwosh.edu) to determine what status they are eligible
What other piece of advice would you give an undocumented student hoping for admission at your school?
Their status is kept confidential and only 2-3 people on campus will know their status for eligibility of tuition remission and will not disclose without consent or authorization from the student</t>
  </si>
  <si>
    <t>Are undocumented students eligible for need-based aid?
There may be some scholarships they can apply that do not require proof of citizenship or FAFSA on file
What financial aid application should undocumented students send? The CSS, FAFSA, ISFAA or a form unique to your school?
We do not offer additional aid other than scholarships they can apply for
If need-based aid is not available, is there a feasible path undocumented students can take to pay for their education with stackable merit scholarships, loans and/or grants from your school?
No there are no feasible paths but students have been able to find ways to through scholarships, other community scholarships and working on campus.</t>
  </si>
  <si>
    <t>Are there organized groups or clubs comprised of or advocating for undocumented students in your school?
At this moment no. We have a small population of students but we are looking into setting something up in the future
How often does your office receive applications from undocumented students?
We get a handful every year
Does your school allow Immigration and Customs Enforcement (ICE) officers onto campus without a warrant?
No it does not, we were in the process of setting something up but everything goes through our university police and they do not check or ask students their status
Does the campus police enforce immigration law?
No
Does your school share student immigration status with ICE?
No
Does your school provide distance-learning options for deported students to complete their degrees?
I am not sure, we have not had something like this happen
Does your school provide confidential legal support to students with immigration law questions and issues?
Our school does have access to a lawyer and they will refer students to local lawyers if students would need legal advice or support</t>
  </si>
  <si>
    <t>uwosh</t>
  </si>
  <si>
    <t>Are undocumented students considered international or domestic?
Undocumented students are considered as domestic applicants. 
Are you need-blind for undocumented students?
Williams College is need-blind for all domestic applicants, including undocumented students. 
Are there any restrictions on merit aid for undocumented students at your school?
Williams College does not award merit scholarships to any students.
Does your school provide merit aid specially for undocumented students?
Williams College does not award merit scholarships to any students.
Would you advice an undocumented student to reveal their status in their application or subsequent email?
It is helpful for our admission to know of a student’s citizenship status during the application and financial aid processes to ensure we do not ask for any unnecessary documents, forms, etc. We want to streamline and ease these processes for students as much as possible.
Is there a special contact point for undocumented students?
Alejandra Moran and Courtney Oben, assistant directors of admission, are the primary contact point for undocumented prospective students and families, and for those with DACA status. You can reach Alejandra and Courtney at vam1@williams.edu and ceo3@williams.edu, respectively.
What other piece of advice would you give an undocumented student hoping for admission at your school?
Our office is here to help and guide you through the admission process. We will be as proactive as possible to answer your questions and needs, but please don’t be afraid to give us a call or send us an email to ask further questions.</t>
  </si>
  <si>
    <t>Are undocumented students eligible for need-based aid?
Yes, Williams College only awards need-based financial aid packages to admitted students, including undocumented students and those with DACA status.
What financial aid application should undocumented students send? The CSS, FAFSA, ISFAA or a form unique to your school?
Williams College requires that all applicants complete the CSS Profile. Please contact our Office of Student Financial Services to inquire about submitting the FAFSA.</t>
  </si>
  <si>
    <t>Are there organized groups or clubs comprised of or advocating for undocumented students in your school?
Yes, the Coalition for Immigrant Student Advancement (CISA) is a student organization committed to bringing awareness to and advocating for immigrant students’ on campus.
How often does your office receive applications from undocumented students?
Our office is in conversations with and receives applications from undocumented students every year. 
Does your school allow Immigration and Customs Enforcement (ICE) officers onto campus without a warrant?
No, Williams does not allow any outside agencies onto campus without a warrant from a judge.
Does the campus police enforce immigration law?
Williams College does not have any campus police officers.
Does your school share student immigration status with ICE?
Williams does not share student information with ICE without a warrant from a judge.
Does your school provide distance-learning options for deported students to complete their degrees?
Williams would work with students on an individual basis to determine whether or not distance-learning is possible to complete their degrees. 
Does your school provide confidential legal support to students with immigration law questions and issues?
Williams College cannot provide legal advice to students with immigrant law questions, but our Dean's Office provides connections to legal experts (i.e. attorneys or organizations).</t>
  </si>
  <si>
    <t>Alejandra Moran: vam1@williams.edu Courtney Oben: ceo3@williams.edu</t>
  </si>
  <si>
    <t>williams</t>
  </si>
  <si>
    <t>Yuri Hernández Osorio: hernandy@up.edu Casandra Esparza: esparza@up.edu</t>
  </si>
  <si>
    <t>https://www.up.edu/inclusion/undocumented-students/index.html</t>
  </si>
  <si>
    <t>up</t>
  </si>
  <si>
    <t>At Ursuline College, undocumented students apply through the same process as students who have citizenship, which you can read about here: https://www.ursuline.edu/admission/undergraduate-admission/how-to-apply
The only additional step is that, because undocumented students are typically not able to complete the FAFSA to determine their financial aid eligibility, we ask them to complete our international student financial aid form, our Declaration and Certification of Finances form: https://apply.ursuline.edu/register/?id=21a48f13-b79f-488f-ab99-0bb5a1b56a3e
That way, we can still consider you for financial aid.</t>
  </si>
  <si>
    <t>ursuline</t>
  </si>
  <si>
    <t>Daniel Aguilar, Coordinator for Hispanic/LantinX outreach at diversity@uis.edu​</t>
  </si>
  <si>
    <t>If you are interested in information and resources we provide our undocumented students please see our website Resources on Immigration: https://www.uis.edu/diversitycenter/resources/immigration/</t>
  </si>
  <si>
    <t>uis</t>
  </si>
  <si>
    <t>Are undocumented students considered international or domestic?
It depends on the student. A college has no way of knowing if a student currently present in the USA has official status or not except if a student informs the school or if a school official figures it out based on lack of abilty to declare a specific status like US citizen or PR or a visa-holder of some sort. A lot depends on where they most recently attended college (if any) or high school prior to applying to Wells.
Are you need-blind for undocumented students?
We don’t know of a student’s need until they submit a FAFSA. Not submitting a FAFSA is another sign that the student is on a non-immigrant visa or undocumented, in which case they don’t qualify for state/federal financial aid programs. So, by default, the answer is “no”.
Are there any restrictions on merit aid for undocumented students at your school? No.
Does your school provide merit aid specially for undocumented students? No.
Would you advice an undocumented student to reveal their status in their application or subsequent email? Yes. I would at least urge them to not shy away from honest communication with their 1) parents/guardians and 2) admissions counselor who is HOPEFULLY seeing themselves as a helper in as much as they are able to help.
How would their status affect their application?t does not. Except, if they are recently arrived to the USA and have attended only international schools. Then, they will likely be viewed as international applicants and may need to show additional application materials such as English test scores, translations of transcripts, etc.
Is there a special contact point for undocumented students? Start with the international admissions person an they will direct you. Or whichever admissions counselor reaches out to you should also be able to help.
What other piece of advice would you give an undocumented student hoping for admission at your school?
Don’t be afraid to state the truth about your situation. Nobody can assist you if you hide it but make sure you have a relationship with your admissions counselor for the best service and the most help.</t>
  </si>
  <si>
    <t>Are undocumented students eligible for need-based aid? Not usually from the federal/state sources to which US citizen and Permanent Resident students have access.
What financial aid application should undocumented students send? The CSS, FAFSA, ISFAA or a form unique to your school? We don’t look at anything but the FAFSA to determine need-based aid at Wells. So, it is of no consequence to submit these forms as we do offer merit-based aid.
If need-based aid is not available, is there a feasible path undocumented students can take to pay for their education with stackable merit scholarships, loans and/or grants from your school? Yes, indeed! https://www.wells.edu/admissions/tuition-aid
What would be the requirements for such scholarships and what would a student's chances of getting them? Wells looks at the entire student application as part of our holistic app reading policy. Do a great job on your application, do your best in school and use the opportunity presented to tell us about yourself, what matters to you, your journey and your vision of yourself at Wells! Submit a good application in short. And, keep in mind that your admissions counselor is there to help and advocate for you.</t>
  </si>
  <si>
    <t>Are there organized groups or clubs comprised of or advocating for undocumented students in your school? Not specifically but there are many groups that promote multiculturalism and that recognize and celebrate differences.
How often does your office receive applications from undocumented students? Again, we don’t know as they don’t disclose, typically. We can only infer. But, because Wells has a reputation for humanitarianism, support and empathy, I’d say quite often!
Does your school allow Immigration and Customs Enforcement (ICE) officers onto campus without a warrant? No.
Does the campus police enforce immigration law? They are not police but rather safety officers. So, no.
Does your school share student immigration status with ICE? Not as a rule and if at all, not unless required, same with any school. This is rare. In my career, it’s only happened when a student is suspected of having committed a crime in the USA, in my experience, and it was the FBI, not ICE.
Does your school provide distance-learning options for deported students to complete their degrees? Not at the moment but my feeling is that we would try to accommodate, if the situation arose.
Does your school provide confidential legal support to students with immigration law questions and issues? Yes but most campus officials work with F or J categories and do not have law degrees and thus would only be able to advise an undocumented student up to a certain point. They may direct you to seek the legal services of an immigration lawyer.</t>
  </si>
  <si>
    <t>international admissions person or whichever admissions counselor reaches out to you</t>
  </si>
  <si>
    <t>wells</t>
  </si>
  <si>
    <t>We accept undocumended students at our institution.
Undocumented students are classified as non traditional students</t>
  </si>
  <si>
    <t>They do not qualify for financial aid.
They can apply for academic or athletic scholarships.
Remaining balances must be paid in four portions throughout the year</t>
  </si>
  <si>
    <t>talladega</t>
  </si>
  <si>
    <t>Are undocumented students considered international or domestic? Domestic
Are you need-blind for undocumented students? Concord does not offer institutional need-based financial aid. There are need based scholarship opportunities but limited.
Are there any restrictions on merit aid for undocumented students at your school? No. Up to full cost in merit scholarship.
Does your school provide merit aid specially for undocumented students? No
Would you advice an undocumented student to reveal their status in their application or subsequent email? Maybe? Only to properly advise potential f-1 students on I-20/visa renewal. We do not report immigration status of students or student applicants.
How would their status affect their application?? F-1 students would be considered international students and would need to complete the f-1 visa renewal or sevis record transfer process. 
Is there a special contact point for undocumented students? No. May qualify for trio programs.
What other piece of advice would you give an undocumented student hoping for admission at your school? Work with your admission counselor for the best opportunity. We are here to help.</t>
  </si>
  <si>
    <t>Are undocumented students eligible for need-based aid? No
What financial aid application should undocumented students send? The CSS, FAFSA, ISFAA or a form unique to your school? FAFSA (if eligible)
If need-based aid is not available, is there a feasible path undocumented students can take to pay for their education with stackable merit scholarships, loans and/or grants from your school? Concord University does not offer institutional FA.
What would be the requirements for such scholarships and what would a student's chances of getting them? All students are considered for merit scholarships. The higher GPA and test scores the more money a student can receive. Up to full costs.</t>
  </si>
  <si>
    <t>Are there organized groups or clubs comprised of or advocating for undocumented students in your school? I’m not sure.
How often does your office receive applications from undocumented students? 15-30 per year.
Does your school allow Immigration and Customs Enforcement (ICE) officers onto campus without a warrant? Only routine visits from ICE are in regards to SEVP and F-1 international students. Domestic (undocumented) student citizenship status is confidential.
Does the campus police enforce immigration law? NO.
Does your school share student immigration status with ICE? NO.
Does your school provide distance-learning options for deported students to complete their degrees? A few.
Does your school provide confidential legal support to students with immigration law questions and issues? NO.</t>
  </si>
  <si>
    <t>concord</t>
  </si>
  <si>
    <t>Undocumented students are considered international students for admissions purposes here at the University of Vermont. You can view our admissions process for international applicants here: https://www.uvm.edu/admissions/undergraduate/international-students-how-apply</t>
  </si>
  <si>
    <t>Undocumented students are considered for the same amount of merit scholarship as all other students, up to $20,000 per year. Students interested in discussing their individual financial situation and tuition costs would need to contact our office of Student Financial Services: https://www.uvm.edu/studentfinancialservices</t>
  </si>
  <si>
    <t>For students admitted to UVM, we would be happy to discuss all other questions in further detail.</t>
  </si>
  <si>
    <t>uvm</t>
  </si>
  <si>
    <t>Undocumented students are considered domestic students, which means that they are evaluated for financial aid on a need-blind basis, like other domestic students.
Undocumented students are eligible to receive merit aid. 
If the student does not indicate their status, they will likely be mis-labeled as an international student, so it is advisable to make our office aware.</t>
  </si>
  <si>
    <t>William Segura, william.segura@emory.edu</t>
  </si>
  <si>
    <t>https://apply.emory.edu/apply/other/undocumented.html</t>
  </si>
  <si>
    <t>emory</t>
  </si>
  <si>
    <t>Are undocumented students considered international or domestic? Undocumented students are considered domestic applicants. Only students who hold or will hold F or J-1 Student Visas are considered international students.
Are you need-blind for undocumented students? We are need-blind for all students during the admissions review process.
Are there any restrictions on merit aid for undocumented students at your
school? There are no restrictions on merit aid for undocumented students. All incoming students must apply for a fall term by our early action deadline (December 1) to be automatically considered for merit scholarships.
Does your school provide merit aid specially for undocumented students? No, undocumented status is not taken into consideration during the merit aid consideration process.
Would you advice an undocumented student to reveal their status in their
application or subsequent email? Students must disclose their status in the admission application. This information is never shared outside of our office and is used for determining eligibility for in-state tuition versus out-of-state tuition only.
How would their status affect their application?: All undergraduate applicants who are not U.S. citizens or whose first language is not English must provide proof of English proficiency.
Is there a special contact point for undocumented students? Yes, students can email englprof@towson.edu.
What other piece of advice would you give an undocumented student hoping
for admission at your school? We recommend checking out this website for additional resources for undocumented students at TU: https://www.towson.edu/admissions/financialaid/apply/undocumented.html</t>
  </si>
  <si>
    <t>Are undocumented students eligible for need-based aid? Students are not eligible for federal aid, but Maryland residents may be eligible for state aid and in-state tuition through the Maryland Dream Act. These options are outlined here: https://www.towson.edu/admissions/financialaid/apply/undocumented.html
What financial aid application should undocumented students send? The CSS,
FAFSA, ISFAA or a form unique to your school? Undocumented students are not eligible for FAFSA, but Maryland residents can check out aid programs offered through the Maryland Higher Education Commission.
If need-based aid is not available, is there a feasible path undocumented
students can take to pay for their education with stackable merit
scholarships, loans and/or grants from your school? Students can apply for scholarships and loans to pay for college. Here is a resource for scholarship opportunities at TU: www.towson.edu/scholarships
What would be the requirements for such scholarships and what would a
student's chances of getting them? The admissions merit-based scholarship is based on a student’s high school GPA. To be considered, students must apply by our early action deadline for a fall term. These scholarships are competitive and consideration is based on the strength of the applicant pool when students apply.</t>
  </si>
  <si>
    <t>Are there organized groups or clubs comprised of or advocating for
undocumented students in your school? The TU Center for Student Diversity supports undocumented students and can connect them with resources and student clubs.
How often does your office receive applications from undocumented students? We cannot disclose this information.
In accordance with University System of Maryland guidance, Towson University is committed to the following: 
1. Towson University will not permit immigration enforcement authorities to enter campus for an enforcement action without a warrant unless there is an exigent circumstance (national security or terrorist matter, risk of death or physical harm, etc.) necessitating immediate action. 
2. Towson University will not voluntarily partner with immigration authorities to assist with enforcement activities. 
3. Towson University will not detain an immigrant at the request of immigration enforcement authorities. 
4. Towson University will not request nor share immigration information obtained in connection with a campus arrest.
5. Towson University will not provide immigration enforcement authorities with student records without a lawfully issued subpoena or court order.</t>
  </si>
  <si>
    <t>englprof@towson.edu</t>
  </si>
  <si>
    <t>towson</t>
  </si>
  <si>
    <t>Are undocumented students considered international or domestic?
AUBG doesn’t make a distinction between international and domestic students at all for the admission process (aside from calculating the GPA).
Are you need-blind for undocumented students?
AUBG is need blind for all students regarding Admissions.
Are there any restrictions on merit aid for undocumented students at your school?
None. However we do have donor scholarships for students with certain citizenships (here)(https://www.aubg.edu/admissions/scholarships).
Does your school provide merit aid specially for undocumented students?
Not specifically for undocumented students.
Would you advice an undocumented student to reveal their status in their application or subsequent email?
We would need this information so our Visa Coordinator could help you with the Bulgarian Student Visa. The student could send this to us via email.
How would their status affect their application?It would not affect their Admission Decision.
Is there a special contact point for undocumented students?
Students applying from North America (regardless of status or citizenship) work with me (sharvey@aubg.edu).
What other piece of advice would you give an undocumented student hoping for admission at your school?
Reach out to your Admission Counselor to schedule an in-depth call with the team (including our Visa Coordinator).</t>
  </si>
  <si>
    <t>Are undocumented students eligible for need-based aid?
Yes.
What financial aid application should undocumented students send? The CSS, FAFSA, ISFAA or a form unique to your school?
We have our own Application for Financial Aid form (here)(https://www.aubg.edu/apply/aid).
If need-based aid is not available, is there a feasible path undocumented students can take to pay for their education with stackable merit scholarships, loans and/or grants from your school?
Need-based aid would be available and is stackable with merit scholarships.
What would be the requirements for such scholarships and what would a student's chances of getting them?
Scholarships are awarded on a competitive basis at AUBG. We cannot determine the requirements or chances of being awarded since we cannot predict our applicant pool for the next cycle. However it is strongly recommended for students to complete their application by March 1st so they can be considered for priority scholarships.</t>
  </si>
  <si>
    <t>Are there organized groups or clubs comprised of or advocating for undocumented students in your school?
No
How often does your office receive applications from undocumented students
To my knowledge, we haven’t receive any applications from undocumented students (this is a status that AUBG doesn’t need to recognize since we are in Bulgaria).
Does your school allow Immigration and Customs Enforcement (ICE) officers onto campus without a warrant?
ICE doesn’t operate in Bulgaria.
Does the campus police enforce immigration law?
AUBG students apply for a Bulgarian Student Visa with the help of our Visa Coordinator.
Does your school share student immigration status with ICE?
ICE doesn’t operate in Bulgaria, so no.
Does your school provide distance-learning options for deported students to complete their degrees?
For Fall 2021, students who cannot travel to Bulgaria due to covid related issues or visa issues may complete the semester online.
Does your school provide confidential legal support to students with immigration law questions and issues?
To my knowledge, AUBG cannot provide legal support to students.</t>
  </si>
  <si>
    <t>sharvey@aubg.edu</t>
  </si>
  <si>
    <t>I can answer some of your questions, but many do not apply to AUBG since we are located in Bulgaria</t>
  </si>
  <si>
    <t>aubg</t>
  </si>
  <si>
    <t>Are undocumented students considered international or domestic?
Domestic
Are you need-blind for undocumented students?
We are need blind for everyone
Are there any restrictions on merit aid for undocumented students at your school?
All institutional aid not associated with the FAFSA is available. 
Does your school provide merit aid specially for undocumented students?
No, but they have access to all merit and half tuition scholarships like any other student.
Would you advice an undocumented student to reveal their status in their application or subsequent email?
Yes
How would their status affect their application?It only impacts FAFSA filing
Is there a special contact point for undocumented students?
We have counselors who cover geographic regions based on where the student lives.
What other piece of advice would you give an undocumented student hoping for admission at your school?
Apply early and visit often!</t>
  </si>
  <si>
    <t>Are undocumented students eligible for need-based aid?
Not need based from FAFSA- but we do offer institutional aid
What financial aid application should undocumented students send? The CSS, FAFSA, ISFAA or a form unique to your school?
Application for admission and a meeting with their Admissions Counselor.
If need-based aid is not available, is there a feasible path undocumented students can take to pay for their education with stackable merit scholarships, loans and/or grants from your school?
They will have some out of pocket expenses but we can help them with up to a large portion.
What would be the requirements for such scholarships and what would a student's chances of getting them?
GPA and test or test optional score eligibility along with interviewing at Scholarship Day.</t>
  </si>
  <si>
    <t>Are there organized groups or clubs comprised of or advocating for undocumented students in your school?
None specifically at the moment.
How often does your office receive applications from undocumented students?
Often
Does your school allow Immigration and Customs Enforcement (ICE) officers onto campus without a warrant?
We abide by all federal regulations
Does the campus police enforce immigration law?
Campus Security maintains safety on campus as their primary function.
Does your school share student immigration status with ICE?
For students who hold I-20s and Student Visas only, to my knowledge. 
Does your school provide distance-learning options for deported students to complete their degrees?
We do not.
Does your school provide confidential legal support to students with immigration law questions and issues?
Confidential counseling is available to all students but legal support is typically up to the student.</t>
  </si>
  <si>
    <t xml:space="preserve">The best way for your students to learn more is to visit our campus! During the visit a member of the Admissions team will sit down and talk more in depth about their personal situation and questions. 
</t>
  </si>
  <si>
    <t>brevard</t>
  </si>
  <si>
    <t>Are undocumented students considered international or domestic? 
They are considered international students. 
Are you need-blind for undocumented students? 
Yes, the scholarship and merit based are the same for undocumented students. 
Are there any restrictions on merit aid for undocumented students at your school? 
There are no restrictions on merit aid for undocumented students. 
Does your school provide merit aid specially for undocumented students? 
No, merit aid is looked at the same for all students. 
Would you advice an undocumented student to reveal their status in their application or subsequent email? 
On our application, we ask for a student citizenship status. 
How would their status affect their application?? 
It would not affect their application. 
Is there a special contact point for undocumented students? 
We do it based off of where their school is located just like US citizens, and this determines who their Admissions Counselor would be. 
What other piece of advice would you give an undocumented student hoping for admission at your school? 
Start process as soon as they can and be very proactive in things like higher level scholarship that are competition based and be very attentive for additional opportunities because some opportunities are not as plentiful when it comes to need based aid for undocumented students and maximizing that potential.</t>
  </si>
  <si>
    <t>Are undocumented students eligible for need-based aid? 
Yes, but a limited amount of need-based aid for undocumented students. 
What financial aid application should undocumented students send? The CSS, FAFSA, ISFAA or a form unique to your school? 
It is not required. students are automatically considered for need based aid. 
If need-based aid is not available, is there a feasible path undocumented students can take to pay for their education with stackable merit scholarships, loans and/or grants from your school? 
Undocumented students can use merit aid and limited need based as means for paying for education. If a student gets outside scholarships, they could bring them, and it would not reduce what McDaniel is giving them. 
What would be the requirements for such scholarships and what would a student's chances of getting them? 
If a student is looking to maximize on all scholarships, they need to complete the application no later than Dec 15 of their senior year. If they are considered for additional scholarships, we would reach out to student and let them know and this process is the same for US Students.</t>
  </si>
  <si>
    <t>Are there organized groups or clubs comprised of or advocating for undocumented students in your school? 
Nothing specific but we do have out Office of Diversity Equite and Inclusion as well as Global Bridge for students who identify from being from countries other than the United States where they come together and share cultural experiences. Also, students can start their own clubs if they have at least 5 students interested and a professor who would act as the advisor. This is through our Office of Student Engagement. 
How often does your office receive applications from undocumented students? 
Every year. There is not data collected from individual Counselors, but every year, each Counselor gets at least one. 
Does your school allow Immigration and Customs Enforcement (ICE) officers onto campus without a warrant? 
It has never happened to my knowledge. 
Does the campus police enforce immigration law? 
No, the campus police do not enforce immigration law.
Does your school share student immigration status with ICE? 
No, we are private institution.
Does your school provide distance-learning options for deported students to complete their degrees? 
No, we do not offer distance learning for anyone. We are an on campus and in person institution.
Does your school provide confidential legal support to students with immigration law questions and issues? 
We do not offer legal support for any of our students.</t>
  </si>
  <si>
    <t>Admissions Counselor</t>
  </si>
  <si>
    <t>mcdaniel</t>
  </si>
  <si>
    <t xml:space="preserve">Wayne State University has a dedicated webpage with information about our admissions process, paying for college and other web resources for DACA and undocumented students: https://wayne.edu/dreamers. In addition to the web page, I have attached a PDF of a print flyer that answers many of your questions and also provides key contacts and contact information at WSU for undocumented students: https://documentcloud.adobe.com/link/track?uri=urn:aaid:scds:US:12ebbf33-da13-455d-8ebf-d6b5eec4d457
(Please note that WSU now offers a test optional admissions path which will continue to be an option for students applying to college for the 2021-2022 application cycle). We understand that many undocumented students have very specific and unique circumstances and we are committed to supporting undocumented students who are interested in attending WSU.
</t>
  </si>
  <si>
    <t>Are there organized groups or clubs comprised of or advocating for undocumented students in your school? 
The Center for Latino/a and Latin American Studies supports DACA and undocumented students with personalized advising and resources. 
How often does your office receive applications from undocumented students? 
We do not keep a record of or information related to a student’s undocumented status. 
Does your school allow Immigration and Customs Enforcement (ICE) officers onto campus without a warrant? 
Not that I am aware of.
Does the campus police enforce immigration law? 
No.
Does your school share student immigration status with ICE? 
No.
Does your school provide distance-learning options for deported students to complete their degrees? 
WSU now offers more virtual learning and degree options for students as a result of the COVID-19 pandemic. Prior to the pandemic there were very few options for any students to complete their degrees through distance learning options.
Does your school provide confidential legal support to students with immigration law questions and issues? 
The Wayne State University Law School has an established Immigration Law Clinic where students and/or members of the community can receive free and confidential legal assistance related to immigration law matters.</t>
  </si>
  <si>
    <t>Ericka M. Jackson, Senior Director Office of Undergraduate Admissions, 313-577-2100, admissions@wayne.edu. Catherine Kay, Senior Director Office of Student Financial Aid, 313-577-2100, studentservice@wayne.edu. Melissa Miranda Morse, Assistant Director, Student Services and Program Development Center for Latino/a and Latin American Studies, 313-577-6989, mmorse@wayne.edu</t>
  </si>
  <si>
    <t>wayne</t>
  </si>
  <si>
    <t>Are undocumented students considered international or domestic?
Undocumented students would apply as domestic, not international.
Are you need-blind for undocumented students?
We are need-blind for all students
Are there any restrictions on merit aid for undocumented students at your school?
No restrictions on merit aid
Does your school provide merit aid specially for undocumented students?
No we do not have specific scholarships for undocumented students
Would you advice an undocumented student to reveal their status in their application or subsequent email?
If a student feels comfortable sharing their undocumented status, then they are welcome to do so with their admission counselor
How would their status affect their application??
We would still review an undocumented student in the same way we review any student and it would not hurt their chances of admission to be undocumented
Is there a special contact point for undocumented students?
The point of contact would be the student's assigned admission counselor which they are notified about after submitting their app.</t>
  </si>
  <si>
    <t>Are undocumented students eligible for need-based aid?
Yes, undocumented students are eligible for need-based aid. For complete information about the financial aid process for undocumented students, I recommend you contact our Financial Aid office: finaid@iit.edu.</t>
  </si>
  <si>
    <t>Are there organized groups or clubs comprised of or advocating for undocumented students in your school?
We don't have specific clubs for undocumented students, but any student is encouraged to join all clubs/organizations that they might be interested in. Students can also start their own club if they would like.
Does your school allow Immigration and Customs Enforcement (ICE) officers onto campus without a warrant?
We consider our campus a safe space for our students, as well as the fact that Chicago is designated as a safe city. As such, we would not allow unauthorized individuals on our campus
Does the campus police enforce immigration law?
I am not sure how our campus safety officers operate and if they are responsible for enforcing immigration law
Does your school share student immigration status with ICE?
Due to FERPA laws, we cannot share the personal information of current students unless they authorize us to do so.
Does your school provide distance-learning options for deported students to complete their degrees?
Currently, we do not offer fully online programs at the undergraduate level
Does your school provide confidential legal support to students with immigration law questions and issues?"
We can recommend immigration law firms that students can choose to consult for legal advice if those so choose, but we are not partnered with a specific law firm.</t>
  </si>
  <si>
    <t>iit</t>
  </si>
  <si>
    <t>Research College of Nursing is a junior/senior nursing school offering a Bachelor of Science in Nursing degree program. Our students must complete 60 hours of pre-requisite coursework at an accredited college or university and then apply to transfer. We are not approved to admit international students. Students must be Permanent residents or US Citizens to receive financial aid from RCoN.</t>
  </si>
  <si>
    <t>researchcollege</t>
  </si>
  <si>
    <t>How to Apply to UNC:
When you apply to UNC as a DREAMer, Undocumented, or DACA student:
a. Apply to UNC online by starting a Bear App, and select the undergraduate or graduate option to begin.
b. Fill out the application and when prompted to select citizenship status, choose "Nonresident/non-citizen."
c. Then select yes for the "I am a DREAMer, undocumented or DACA student..." portion.
d. If you have questions while completing your application email Rudy Vargas.
Learn more: https://www.unco.edu/equity-inclusion/dreamers.aspx
Are undocumented students considered international or domestic?
When filling out our Bear App and come to the citizen question, students will select “Nonresident/non-citizen” and then select yes for the “ I am a DREAMer, undocumented or DACA student…” portion.
Is there a special contact point for undocumented students?
Yes! Rudy Vargas is an amazing resource. Rudy is UNC’S Coordinator of Undocumented Student Services and the DREAMer Engagement program. He helps provide DREAMers with the tools to enroll and be successful students while at UNC.</t>
  </si>
  <si>
    <t xml:space="preserve">Are undocumented students eligible for need-based aid?
Yes, undocumented students are encouraged to complete the CASFA form to be considered for campus-based aid. 
What financial aid application should undocumented students send? The CSS, FAFSA, ISFAA or a form unique to your school?
You will only need to complete the CASFA form linked in the previous question.
If need-based aid is not available, is there a feasible path undocumented students can take to pay for their education with stackable merit scholarships, loans and/or grants from your school?
We highly encourage DREAMers to also fill out UNC’S Universal Scholarship Application by the priority deadline to take advantage of the 600+ foundation-based scholarships.
Chegg.com is also a great resource searching for scholarships as they offer over 25,000 scholarships.
Undocumented students are welcome to apply for scholarships as well.
What would be the requirements for such scholarships and what would a student's chances of getting them?
It would depend on what type of scholarship it is and whether or not they require additional requirements. Unfortunately, scholarships are not guaranteed, but we always recommend students fill out scholarship applications.
</t>
  </si>
  <si>
    <t>unco</t>
  </si>
  <si>
    <t>Are undocumented students considered international or domestic?
-Domestic
Are you need-blind for undocumented students?
-We are need-blind for all students
Are there any restrictions on merit aid for undocumented students at your school?
-No! Merit based scholarship is purely based on high school GPA and test scores (if applicable), undocumented students can apply test-optional
Does your school provide merit aid specially for undocumented students?
-No, since they can receive the same level of merit-aid as every other student.
Would you advice an undocumented student to reveal their status in their application or subsequent email?
-No, they do not need to at any point unless they would like to.
How would their status affect their application?-It does not impact their application for admission in any way.
Is there a special contact point for undocumented students?
-No, they will be assigned a counselor based on their address
What other piece of advice would you give an undocumented student hoping for admission at your school?
-Feel comfortable asking questions, we are here to help and do not report status to ICE or any other immigration enforcement agency.</t>
  </si>
  <si>
    <t>Are undocumented students eligible for need-based aid?
-If in New Jersey, they may be eligible by filing the NJ Alternative Financial Aid Application found here https://www.hesaa.org/Pages/NJAlternativeApplication.aspx
What financial aid application should undocumented students send? The CSS, FAFSA, ISFAA or a form unique to your school?
-We only use the FAFSA for need based aid
If need-based aid is not available, is there a feasible path undocumented students can take to pay for their education with stackable merit scholarships, loans and/or grants from your school?
-Every student is welcome to apply for our range of stackable scholarships found here https://www.shu.edu/undergraduate-admissions/scholarships.cfm
What would be the requirements for such scholarships and what would a student's chances of getting them?
-The University Scholarship is the main merit-based scholarship and reviewed automatically. If accepted to Seton Hall, it is very likely they will receive a University Scholarship. The other scholarships are more competitive and their requirements can be found at the link above.</t>
  </si>
  <si>
    <t>Are there organized groups or clubs comprised of or advocating for undocumented students in your school?
-I am not aware of a specific club solely focusing on this issue, but some of our cultural, political and social justice clubs do advocate for undocumented students. A full list of our clubs and organizations can be found here https://www.shu.edu/student-organizations/student-organizations-a-z.cfm.
How often does your office receive applications from undocumented students?
-Through the Seton Hall application or Common App, like every other student. Those can be found here https://www.shu.edu/undergraduate-admissions/applying.cfm.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-Not traditionally, but more options may become available as a result of the pandemic
Does your school provide confidential legal support to students with immigration law questions and issues?
-Not that I am aware of</t>
  </si>
  <si>
    <t>shu</t>
  </si>
  <si>
    <t>Are undocumented students considered international or domestic? 
international students
Are you need-blind for undocumented students?
No
Are there any restrictions on merit aid for undocumented students at your school?
yes, one of our merit award programs is only open to US citizens and US permanent residents. By contrast, we have two merit award programs that are only open to international students and the undocumented students can (and has been) awarded these funds.
Does your school provide merit aid specially for undocumented students?
No
Would you advise an undocumented student to reveal their status in their application or subsequent email?
We would require to know if they are US Citizen, Permanent Resident, or international.
How would their status affect their application?Yes, because we are need-aware for international students
Is there a special contact point for undocumented students?
No
What other piece of advice would you give an undocumented student hoping for admission at your school?
Contact us directly.</t>
  </si>
  <si>
    <t>Are undocumented students eligible for need-based aid?
Yes, but the budget is very small and that limits our ability to offer admission. Those we do offer admission we meet 100% of calculated need.
What financial aid application should undocumented students send? The CSS, FAFSA, ISFAA or a form unique to your school?
Those exact 4.
If need-based aid is not available, is there a feasible path undocumented students can take to pay for their education with stackable merit scholarships, loans and/or grants from your school?
We do meet 100% of demonstrated need for those we would admit who are undocumented students (or international students, generally)
What would be the requirements for such scholarships and what would a student's chances of getting them?
It is super competitive to gain admission as an international student who needs aid (and undocumented students fall into this category. We generally can offer admission to about 5 people out of perhaps 400 candidates.</t>
  </si>
  <si>
    <t>Are there organized groups or clubs comprised of or advocating for undocumented students in your school?
not one dedicated solely to undocumented students but this would be a component of at least two support programs here.
How often does your office receive applications from undocumented students?
Probably fewer than a dozen per year.
Does your school allow Immigration and Customs Enforcement (ICE) officers onto campus without a warrant?
No
Does the campus police enforce immigration law?
We do not have campus police. campus safety is not allowed to enforce any laws.
Does your school share student immigration status with ICE?
No
Does your school provide distance-learning options for deported students to complete their degrees?
No
Does your school provide confidential legal support to students with immigration law questions and issues? No, but the support services can identify advocates in the community who can help.</t>
  </si>
  <si>
    <t>hmc</t>
  </si>
  <si>
    <t>Are undocumented students considered international or domestic?
For admission purposes, we don’t separate students into international or domestic. You submit the same application which includes citizenship/residency information. 
Are you need-blind for undocumented students?
Yes.
Are there any restrictions on merit aid for undocumented students at your school?
Non US citizens/residents are eligible for general merit based scholarships. There are a couple of scholarship programs (Park Scholar, MLK Scholar) that are limited to US citizens/residents.
Does your school provide merit aid specially for undocumented students?
No
Would you advice an undocumented student to reveal their status in their application or subsequent email?
You will be asked to provide your citizenship and address in your application. No separate communication is necessary.
How would their status affect their application?It would not have an impact on the admission review or decision.
Is there a special contact point for undocumented students?
No we do not have a separate process or contact for undocumented students.
What other piece of advice would you give an undocumented student hoping for admission at your school?
I can’t think of any additional advice.</t>
  </si>
  <si>
    <t>Are undocumented students eligible for need-based aid?
Undocumented students are eligible for Ithaca College scholarships and need based financial aid. The challenge is that we may not be able to meet full need since you would not be eligible for federal and state need based aid.
What financial aid application should undocumented students send? The CSS, FAFSA, ISFAA or a form unique to your school?
Right now, we require the CSS Profile. however, we may change this requirement in the future so, if you decide to apply, you should verify what is required.
If need-based aid is not available, is there a feasible path undocumented students can take to pay for their education with stackable merit scholarships, loans and/or grants from your school?
Scholarships and need based aid is stackable but we may not be able to provide all the aid that is needed.
What would be the requirements for such scholarships and what would a student's chances of getting them?
Scholarships are based on academic achievement so getting good grades has the biggest impact (For Music or Theatre applicants, there is a component from the auditions).</t>
  </si>
  <si>
    <t>Are there organized groups or clubs comprised of or advocating for undocumented students in your school?
At this time, no. However, you could start one.
How often does your office receive applications from undocumented students?
To be honest, it is not something that we track. 
Does your school allow Immigration and Customs Enforcement (ICE) officers onto campus without a warrant?
I believe this statement addresses your question, https://www.ithaca.edu/intercom/article.php/20170125111336452
Does the campus police enforce immigration law?
See link above
Does your school share student immigration status with ICE?
See link above
Does your school provide distance-learning options for deported students to complete their degrees?
No
Does your school provide confidential legal support to students with immigration law questions and issues?
We provide some guidance but we do not have an immigration law specialist.</t>
  </si>
  <si>
    <t>ithaca</t>
  </si>
  <si>
    <t>Are undocumented students considered international or domestic?
Domestic 
Are you need-blind for undocumented students?
We are able to reward you a merit scholarship: https://uindy.edu/financial-aid-for-new-students/grants-and-scholarships
Are there any restrictions on merit aid for undocumented students at your school?
No
Does your school provide merit aid specially for undocumented students?
No
Would you advice an undocumented student to reveal their status in their application or subsequent email?
You are able to apply for admissions and receive merit scholarship 
How would their status affect their application?No-It would not affect their application.
Is there a special contact point for undocumented students?
Your Admissions Counselor is happy to help! -Your admissions counselor is assigned based on where you live and what high school you attend. All admissions counselors are able to assist you.
What other piece of advice would you give an undocumented student hoping for admission at your school?
We accept admissions application from undocumented students.</t>
  </si>
  <si>
    <t>Are undocumented students eligible for need-based aid?
Not for any federal or state aid. Here's the link to learn more about it: https://studentaid.gov/sites/default/files/financial-aid-and-undocumented-students.pdf
What financial aid application should undocumented students send? The CSS, FAFSA, ISFAA or a form unique to your school?
None 
If need-based aid is not available, is there a feasible path undocumented students can take to pay for their education with stackable merit scholarships, loans and/or grants from your school?
Merit Scholarships and Supplemental Aid requests 
What would be the requirements for such scholarships and what would a student's chances of getting them?
All students who apply are eligible for merit scholarships based on High School GPA. Your Admissions Counselor is able to submit a Supplemental Aid Request if needed.</t>
  </si>
  <si>
    <t>Are there organized groups or clubs comprised of or advocating for undocumented students in your school?
We have some cultural clubs and support groups. 
How often does your office receive applications from undocumented students?
Pretty Often 
Does your school allow Immigration and Customs Enforcement (ICE) officers onto campus without a warrant?
No
Does the campus police enforce immigration law?
Not that we are aware of 
Does your school share student immigration status with ICE?
Not that we are aware of 
Does your school provide distance-learning options for deported students to complete their degrees?
We do offer some online courses but not enough to complete a degree. We would need to work with our Advising Office on this.</t>
  </si>
  <si>
    <t>uindy</t>
  </si>
  <si>
    <t>Are undocumented students considered international or domestic? Processed as domestic
Are you need-blind for undocumented students? No
Are there any restrictions on merit aid for undocumented students at your school? No
Does your school provide merit aid specially for undocumented students? Same merit aid as any domestic applicant
Would you advice an undocumented student to reveal their status in their application or subsequent email? No
How would their status affect their application?o qualification for need-based aid
Is there a special contact point for undocumented students? No</t>
  </si>
  <si>
    <t>Are undocumented students eligible for need-based aid? No
What financial aid application should undocumented students send? The CSS, FAFSA, ISFAA or a form unique to your school? I don't think undocumented students are able to file a FAFSA. If they were, we could consider them for need-based aid.
If need-based aid is not available, is there a feasible path undocumented students can take to pay for their education with stackable merit scholarships, loans and/or grants from your school? Probably not, they would need to be able to contribute significantly to their educational costs.</t>
  </si>
  <si>
    <t>Are there organized groups or clubs comprised of or advocating for undocumented students in your school? No
How often does your office receive applications from undocumented students? Fairly regularly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No
Does your school provide confidential legal support to students with immigration law questions and issues? No</t>
  </si>
  <si>
    <t>susqu</t>
  </si>
  <si>
    <t xml:space="preserve">Are undocumented students considered international or domestic? 
Undocumented students would be considered ‘International’ as their citizenship country would not be the United States. Our state policy requires financial support to be documented for all international students, but undocumented students do not need to apply for a visa unless they wish to be on the F-1 student visa
Are you need-blind for undocumented students? 
International students are not eligible for our automatic incoming awards. They are eligible to apply for other Minot State Scholarships (the application for general Minot State scholarships is due February 15 of each year).
Are there any restrictions on merit aid for undocumented students at your school? 
Our incoming, automatic merit awards are restricted to US and Canadian citizens only, but other merit awards may be available, depending on the academic program and success of our students.
Does your school provide merit aid specially for undocumented students? 
Minot State does not provide any specific aid for undocumented students.
Would you advice an undocumented student to reveal their status in their application or subsequent email? 
It is helpful if we know a students status so we can collect the appropriate information from the student. It will NOT impact the admission decision of the student if they reveal an undocumented status.
How would their status affect their application?
Is there a special contact point for undocumented students? 
Anyone in our admissions/recruiting team is equipped to help any student!
What other piece of advice would you give an undocumented student hoping for admission at your school? 
Minot State is proud to offer one rate of tuition to all students, regardless of residency. We provide a quality education at an affordable price.
</t>
  </si>
  <si>
    <t>Are undocumented students eligible for need-based aid? 
Minot State offers some general scholarships to students, including those who have demonstrated financial need. However, that is determined by the FAFSA, so only students eligible to apply for federal aid can submit that.
What financial aid application should undocumented students send? The CSS, FAFSA, ISFAA or a form unique to your school? 
The FAFSA is used to determine financial need.
If need-based aid is not available, is there a feasible path undocumented students can take to pay for their education with stackable merit scholarships, loans and/or grants from your school? 
As the third most affordable institution in the US, we are proud to keep our costs as low as we can. There are not Minot State specific loans/grants.
What would be the requirements for such scholarships and what would a student's chances of getting them? 
The general Minot State scholarship application deadline is February 15 of each year. A number of awards are granted to students based on academic program and success at Minot State.</t>
  </si>
  <si>
    <t>Are there organized groups or clubs comprised of or advocating for undocumented students in your school? 
There is currently not an active undocumented student club, but there is an active international student club.
How often does your office receive applications from undocumented students? 
There are undocumented student applications each term.
Does your school allow Immigration and Customs Enforcement (ICE) officers onto campus without a warrant?
Does the campus police enforce immigration law? 
We do not have campus police, just campus security officers.
Does your school share student immigration status with ICE?
Does your school provide distance-learning options for deported students to complete their degrees? 
Minot State offers online degree programs for students around the world to complete.
Does your school provide confidential legal support to students with immigration law questions and issues? 
No, Minot State does not offer legal support for students.</t>
  </si>
  <si>
    <t>Are undocumented students considered international or domestic? Domestic
Are you need-blind for undocumented students? Yes, for all students
Are there any restrictions on merit aid for undocumented students at your school? No restrictions, all students receive merit scholarships
Does your school provide merit aid specially for undocumented students? All students receive merit scholarships, so there isn’t a need to specialty merit scholarships
Would you advice an undocumented student to reveal their status in their application or subsequent email? Either one, we ask students for their FAFSA eligibility on our application that is typically our indicator.
How would their status affect their application?? It doesn’t affect the application process at all.
Is there a special contact point for undocumented students? No, all of our counselors are trained in this process.
What other piece of advice would you give an undocumented student hoping for admission at your school? Apply early, reach out to your admission counselor as soon as possible, and follow through with steps given.</t>
  </si>
  <si>
    <t>Are undocumented students eligible for need-based aid? Yes, we have an in house form and we accept the Illinois Alternative Applications for State Aid.
What financial aid application should undocumented students send? The CSS, FAFSA, ISFAA or a form unique to your school? Talk to your admission counselor, who will provide the in house form and we look for the Illinois Alternative Application for State Aid.
If need-based aid is not available, is there a feasible path undocumented students can take to pay for their education with stackable merit scholarships, loans and/or grants from your school? We also recommend student to apply to TheDream.US Scholarship. We are a partner school and it covers many expenses.
What would be the requirements for such scholarships and what would a student's chances of getting them? High academic background, good GPA’s, and apply early! Again reach out to your admission counselor as soon as possible.</t>
  </si>
  <si>
    <t>Are there organized groups or clubs comprised of or advocating for undocumented students in your school? 
Yes, the most notable: Undocumented &amp; Immigrant Allyance.
How often does your office receive applications from undocumented students? 
All the time about 10% of our application pool identifies as such.
Does your school allow Immigration and Customs Enforcement (ICE) officers onto campus without a warrant? 
No, we are a sanctuary campus and have policies/procedures to follow if that occurs.
Does the campus police enforce immigration law? No
Does your school share student immigration status with ICE? No
Does your school provide distance-learning options for deported students to complete their degrees? 
It would depend on the program, we do offer a few online degrees.
Does your school provide confidential legal support to students with immigration law questions and issues? 
Yes, we work with local partners to provide resources to students and their families.</t>
  </si>
  <si>
    <t>dom</t>
  </si>
  <si>
    <t xml:space="preserve">Are undocumented students considered international or domestic? International
Are you need-blind for undocumented students? Yes
Are there any restrictions on merit aid for undocumented students at your school? Yes
Does your school provide merit aid specially for undocumented students? No
Would you advice an undocumented student to reveal their status in their application or subsequent email? No
How would their status affect their application?It would classify them as an international student.
Is there a special contact point for undocumented students? 
International Admissions
What other piece of advice would you give an undocumented student hoping for admission at your school? 
Be transparent. Assure the undocumented student that he/she is welcome. Let them know it might take more time to complete a degree. 
</t>
  </si>
  <si>
    <t>Are undocumented students eligible for need-based aid? No
What financial aid application should undocumented students send? The CSS, FAFSA, ISFAA or a form unique to your school? 
Undocumented students are not eligible for financial aid.
If need-based aid is not available, is there a feasible path undocumented students can take to pay for their education with stackable merit scholarships, loans and/or grants from your school? No.
What would be the requirements for such scholarships and what would a student's chances of getting them? N/A</t>
  </si>
  <si>
    <t>Are there organized groups or clubs comprised of or advocating for undocumented students in your school? Yes
How often does your office receive applications from undocumented students? Frequently
Does your school allow Immigration and Customs Enforcement (ICE) officers onto campus without a warrant? Not to my knowledge.
Does the campus police enforce immigration law? Not to my knowledge
Does your school share student immigration status with ICE? Not to my knowledge
Does your school provide distance-learning options for deported students to complete their degrees? 
Possibly, but I don’t know of an instance where this happens.
Does your school provide confidential legal support to students with immigration law questions and issues? 
Not to my knowledge.</t>
  </si>
  <si>
    <t>International Admissions</t>
  </si>
  <si>
    <t>mtsu</t>
  </si>
  <si>
    <t>Are undocumented students considered international or domestic?
Undocumented students are considered domestic students.
Are you need-blind for undocumented students?
Admission consideration for all students is need-blind.
Are there any restrictions on merit aid for undocumented students at your school?
There are no restrictions on merit aid for undocumented students. However, should a student be receiving military or full athletic aid, the student would no longer be eligible for an academic merit award.
Does your school provide merit aid specially for undocumented students?
There is not a specific merit scholarship for undocumented students. All students, regardless of status, are eligible for merit aid.
Would you advice an undocumented student to reveal their status in their application or subsequent email?
This is a very personal choice and we do not advise one way or the other. The more information that is available, the more we may be able to assist a student.
How would their status affect their application?Legal status or citizenship does not affect a student's application.
Is there a special contact point for undocumented students?
The Vice President for Enrollment: mapstona@rocky.edu
What other piece of advice would you give an undocumented student hoping for admission at your school?
I advise all students to visit and work directly with the enrollment staff to ensure a smooth transition.</t>
  </si>
  <si>
    <t>Are undocumented students eligible for need-based aid?
Yes and no. There are specific endowed scholarships available specifically for undocumented students as well as appeal based aid. 
What financial aid application should undocumented students send? The CSS, FAFSA, ISFAA or a form unique to your school?
If able, we recommend all students file and submit the FAFSA. RMC's school code 002534
If need-based aid is not available, is there a feasible path undocumented students can take to pay for their education with stackable merit scholarships, loans and/or grants from your school?
Outside of institutional and any available Federal aid, RMC offers payment plan options to help cover remaining balances.
What would be the requirements for such scholarships and what would a student's chances of getting them?
Payment plans are available to all students.</t>
  </si>
  <si>
    <t>Are there organized groups or clubs comprised of or advocating for undocumented students in your school?
Student clubs and organizations vary from year to year depending on the makeup and interests of the student body.
How often does your office receive applications from undocumented students?
We receive a number of applications from undocumented students every year. 
Does your school allow Immigration and Customs Enforcement (ICE) officers onto campus without a warrant?
ICE would not be invited onto campus without a warrant.
Does the campus police enforce immigration law?
RMC does not employ campus police but does maintain a campus safety office. Their role is to enact personal safety protocols across campus.
Does your school share student immigration status with ICE?
The institution does not provide legal or immigration status with any outside entity unless legally compelled to do so.
Does your school provide distance-learning options for deported students to complete their degrees?
RMC does not provide distance learning in general as instruction is primarily focused on one-on-one interactions.
Does your school provide confidential legal support to students with immigration law questions and issues?
The institution would assist students in finding appropriate legal support but would not incur any expense on behalf of the student.</t>
  </si>
  <si>
    <t>mapstona@rocky.edu</t>
  </si>
  <si>
    <t>rocky</t>
  </si>
  <si>
    <t>Are undocumented students considered international or domestic? Domestic
Are you need-blind for undocumented students? Yes
Are there any restrictions on merit aid for undocumented students at your school? No
Does your school provide merit aid specially for undocumented students? No
Would you advice an undocumented student to reveal their status in their application or subsequent email? None
How would their status affect their application?one
Is there a special contact point for undocumented students? No
What other piece of advice would you give an undocumented student hoping for admission at your school? Apply early we have rolling admission</t>
  </si>
  <si>
    <t>Are undocumented students eligible for need-based aid? Some
What financial aid application should undocumented students send? The CSS, FAFSA, ISFAA or a form unique to your school? FAFSA
If need-based aid is not available, is there a feasible path undocumented students can take to pay for their education with stackable merit scholarships, loans and/or grants from your school? 
Yes
What would be the requirements for such scholarships and what would a student's chances of getting them? 
https://scholarship.unm.edu/</t>
  </si>
  <si>
    <t>Are there organized groups or clubs comprised of or advocating for undocumented students in your school? Yes
How often does your office receive applications from undocumented students? Every day
Does your school allow Immigration and Customs Enforcement (ICE) officers onto campus without a warrant? 
Does the campus police enforce immigration law? 
Does your school share student immigration status with ICE?
Does your school provide distance-learning options for deported students to complete their degrees? Yes
Does your school provide confidential legal support to students with immigration law questions and issues?</t>
  </si>
  <si>
    <t>unm</t>
  </si>
  <si>
    <t>Are undocumented students considered international or domestic at Bard College Simons Rock Early College?
The admission application process for DACA or undocumented students is the same as any student living in the United States. When asked about citizenship on the application, enter whatever you feel comfortable with. We recommend that applicants who currently hold DACA Status (Deferred Action for Childhood Arrivals) select Other. If you are applying with the Simon's Rock Application, select “Other”. If you are applying with the Common Application, select “Other (Non-US)”. Then for “Do you currently hold a valid U.S. Visa?”, answer “No”
Are you need-blind for undocumented students?
We are need-blind for all applicants.
Are there any restrictions on merit aid for undocumented students at your school?
There are no restrictions on merit aid. 
Does your school provide merit aid specially for undocumented students?
We do not have specific merit scholarships for undocumented students. All of our merit scholarships are open to all applicants. Applicants are considered for any merit aid they are eligible for. Most merit aid is based on the strength of the admission application but some merit aid also takes other factors into consideration, like leadership, location, etc.
Would you advice an undocumented student to reveal their status in their application or subsequent email?
It is up to the student, But I think it is best for them to reveal their status so that we can best help them through the application process. For instance, if we don't know their status, it will be hard to know what forms to tell the student to use when applying for financial aid. 
How would their status affect their application?It will not affect their application for admission but it will affect what forms they complete to be considered for need-based financial aid. 
Is there a special contact point for undocumented students at Bard College Simons Rock Early College?
Yes, April Shandor. She can be reached at ashandor@simons-rock.edu and 413-528-7385.
What other piece of advice would you give an undocumented student hoping for admission at your school?
If you do not have a Social Security Number (SSN), you do not need to enter anything in the Social Security Number field in the admission application (it is not required). This field refers to U.S. citizens only.
Equity and inclusion are central to Simon’s Rock’s mission and values, and we welcome all students, regardless of citizenship status or national origin to apply to the College. This includes students who are undocumented, and students who hold DACA (Deferred Action for Childhood Arrivals) status.</t>
  </si>
  <si>
    <t>Are undocumented students eligible for need-based aid?
Yes, they are eligible for need-based aid.
What financial aid application should undocumented students send? The CSS, FAFSA, ISFAA or a form unique to your school?
Undocumented students should complete the CSS Profile only. In your PROFILE application, include the Simon’s Rock code number: 3795. Because students who are undocumented or hold DACA status are not eligible for state or federal funding, all financial aid given will come from Bard College at Simon’s Rock.
If need-based aid is not available, is there a feasible path undocumented students can take to pay for their education with stackable merit scholarships, loans and/or grants from Bard College Simons Rock Early College?
Not applicable, as need-based aid is available. 
What would be the requirements for such scholarships and what would a student's chances of getting them?
Not applicable, as need-based aid is available.</t>
  </si>
  <si>
    <t>Are there organized groups or clubs comprised of or advocating for undocumented students in Bard College Simons Rock Early College?
How often does your office receive applications from undocumented students?
We are a very small college (400 students) so we receive fewer applications in general than a larger school. The small size means we receive fewer applications from all groups. We don't receive many applications from undocumented students. I would say at most a couple or a few per year.
Does your school allow Immigration and Customs Enforcement (ICE) officers onto campus without a warrant?
Bard College at Simon’s Rock will not release information about students and employees regarding citizenship or immigration status unless required by law. 
Does the campus police enforce immigration law?
Bard College at Simon’s Rock will not release information about students and employees regarding citizenship or immigration status unless required by law. 
Does your school share student immigration status with ICE?
Bard College at Simon’s Rock will not release information about students and employees regarding citizenship or immigration status unless required by law. 
Does your school provide distance-learning options for deported students to complete their degrees?
We currently have some students studying remotely due to COVID but expect all of our classes and students will be in person next year. 
Does your school provide confidential legal support to students with immigration law questions and issues?
We provide free legal consultation to students who are concerned about whether they can visit their countries of origin or who are concerned about their status when traveling internationally.</t>
  </si>
  <si>
    <t>April Shandor ashandor@simons-rock.edu 413-528-7385</t>
  </si>
  <si>
    <t>Equity and inclusion are central to Simon’s Rock’s mission and values, and we welcome all students, regardless of citizenship status or national origin to apply to the College. This includes students who are undocumented, and students who hold DACA (Deferred Action for Childhood Arrivals) status.</t>
  </si>
  <si>
    <t>simons-rock</t>
  </si>
  <si>
    <t>Are undocumented students considered international or domestic?
International
Are you need-blind for undocumented students?
Undocumented students are not eligible to file the FAFSA, but they are still eligible for merit-based scholarships and any scholarships that PBA offers!
Are there any restrictions on merit aid for undocumented students at your school?
Merit Scholarships for all students range from $8,000 to $18,000 for Florida students and to $20,000 for out of state students
Does your school provide merit aid specially for undocumented students?
We offer merit aid to all students: undocumented, citizens, and international students
Would you advice an undocumented student to reveal their status in their application or subsequent email?
Feel free to live citizenship blank in the application, or mark international
How would their status affect their application?The only difference is that undocumented students are not eligible for the FAFSA, but are still able to submit the PBA application without a problem
Is there a special contact point for undocumented students?
Kat_Rumell@pba.edu
What other piece of advice would you give an undocumented student hoping for admission at your school?
We recommend keeping us informed on your situation, and looking into outside financial aid opportunities to help as well.</t>
  </si>
  <si>
    <t>Are undocumented students eligible for need-based aid?
Yes, but mostly merit based aid
What financial aid application should undocumented students send? The CSS, FAFSA, ISFAA or a form unique to your school?
none
If need-based aid is not available, is there a feasible path undocumented students can take to pay for their education with stackable merit scholarships, loans and/or grants from your school?
We offer merit scholarships and other PBA scholarships which are stackable, and we recommend researching outside scholarships and provide links to those pages.
What would be the requirements for such scholarships and what would a student's chances of getting them?
Variable depending on availability</t>
  </si>
  <si>
    <t>Are there organized groups or clubs comprised of or advocating for undocumented students in your school?
No, but we do have several clubs to support and encourage diversity such as Black Student Union, Mosaic, &amp; Café con Leche.
How often does your office receive applications from undocumented students?
Yes, regularly throughout the recruiting cycle.
Does your school allow Immigration and Customs Enforcement (ICE) officers onto campus without a warrant?
Yes, as an SEVP certified school that advises F-1 students, we are required by law to permit ICE officers on-campus.
Does the campus police enforce immigration law?
Yes, in regards to F-1 students.
Does your school share student immigration status with ICE?
No.
Does your school provide distance-learning options for deported students to complete their degrees?
No.
Does your school provide confidential legal support to students with immigration law questions and issues?
No.</t>
  </si>
  <si>
    <t>Kat_Rumell@pba.edu</t>
  </si>
  <si>
    <t>pba</t>
  </si>
  <si>
    <t>Are undocumented students considered international or domestic?
Undocumented students are considered domestic, unless they are from a country outside of the US.
Are there any restrictions on merit aid for undocumented students at your school?
No. We give merit based scholarships solely based off of the students' GPA.
Does your school provide merit aid specially for undocumented students?
Menlo offers merit based scholarships to all students who get accepted.
Would you advice an undocumented student to reveal their status in their application or subsequent email?
Here at Menlo College, each counselor gets to know their students individually so I would advise students to be open and reveal their status to their counselor so the counselor can help them with the next steps.
Is there a special contact point for undocumented students?
Yes!</t>
  </si>
  <si>
    <t>Are undocumented students eligible for need-based aid?
Yes, I believe undocumented students are eligible for need-based aid.
What financial aid application should undocumented students send? The CSS, FAFSA, ISFAA or a form unique to your school?
We have all students fill out a FAFSA (if they qualify) and also a CSS Profile.</t>
  </si>
  <si>
    <t>Are there organized groups or clubs comprised of or advocating for undocumented students in your school?
Yes, we have about 40+ clubs on campus. Many students have created their own clubs due to our size of school. We really want our students voices to be heard and appreciated, so we let them express their thoughts and concerns.
How often does your office receive applications from undocumented students?
We have many undocumented students who apply. About 20% of our students are international students. We are the third most diverse college in California!
Does your school allow Immigration and Customs Enforcement (ICE) officers onto campus without a warrant?
No we do not.
Does your school provide distance-learning options for deported students to complete their degrees?
I don't think we do.
Does your school provide confidential legal support to students with immigration law questions and issues?
Yes we do!</t>
  </si>
  <si>
    <t>menlo</t>
  </si>
  <si>
    <t>Are undocumented students considered international or domestic?
Domestic
Are you need-blind for undocumented students? 
Admission decisions are solely based on the student’s academic profile.
Are there any restrictions on merit aid for undocumented students at your school? No.
No. All students are evaluated for merit aid equally.
Does your school provide merit aid specially for undocumented students? No.
Would you advice an undocumented student to reveal their status in their application or subsequent email? 
Personal choice, but international students are not eligible for financial aid so it would benefit for an undocumented student to disclose status.
How would their status affect their application?? 
Status has no impact on their admission review.
Is there a special contact point for undocumented students? No.
What other piece of advice would you give an undocumented student hoping for admission at your school? 
Learn about the admission process and what aid you are eligible for.</t>
  </si>
  <si>
    <t>Are undocumented students eligible for need-based aid?
New Jersey allows students to apply for state aid.
What financial aid application should undocumented students send? The CSS, FAFSA, ISFAA or a form unique to your school?
The New Jersey Alternative Financial Aid Application allows NJ Dreamers enrolled in eligible New Jersey colleges and universities to apply for state financial aid.
If need-based aid is not available, is there a feasible path undocumented students can take to pay for their education with stackable merit scholarships, loans and/or grants from your school? n/a
What would be the requirements for such scholarships and what would a student's chances of getting them? n/a</t>
  </si>
  <si>
    <t>Are there organized groups or clubs comprised of or advocating for undocumented students in your school?
How often does your office receive applications from undocumented students?
Every cycle we have undocumented students applying.
Does your school allow Immigration and Customs Enforcement (ICE) officers onto campus without a warrant?
Does the campus police enforce immigration law? No.
Does your school share student immigration status with ICE? No
Does your school provide distance-learning options for deported students to complete their degrees? No. We have not had this request.
Does your school provide confidential legal support to students with immigration law questions and issues? No.</t>
  </si>
  <si>
    <t>monmouth</t>
  </si>
  <si>
    <t>Are undocumented students considered international or domestic? ​Domestic
Are you need-blind for undocumented students?
Yes, we do not have scholarships specifically for undocumented students
Are there any restrictions on merit aid for undocumented students at your school? Nope
Does your school provide merit aid specially for undocumented students? No
Would you advise an undocumented student to reveal their status in their application or subsequent email? Yes
How would their status affect their application?? 
It would make sure an admissions counselor who has knowledge on undocumented students gets to work with the student.
Is there a special contact point for undocumented students? Yes
What other piece of advice would you give an undocumented student hoping for admission at your school? 
If you live in California, please apply for the California dream act BEFORE march 2nd.</t>
  </si>
  <si>
    <t>Are undocumented students eligible for need-based aid? Yes 
What financial aid application should undocumented students send? The CSS, FAFSA, ISFAA or a form unique to your school? 
Its actually more a matter of conversation with a financial aid advisor.
If need-based aid is not available, is there a feasible path undocumented students can take to pay for their education with stackable merit scholarships, loans and/or grants from your school? 
N/A but we do have other non-merit and non-need-based scholarships available
What would be the requirements for such scholarships and what would a student's chances of getting them? 
Ability to write an essay or connect with leadership in your community</t>
  </si>
  <si>
    <t>Are there organized groups or clubs comprised of or advocating for undocumented students in your school? Not specifically
How often does your office receive applications from undocumented students? Pretty often
Does your school allow Immigration and Customs Enforcement (ICE) officers onto campus without a warrant? No
Does the campus police enforce immigration law? N/A
Does your school share student immigration status with ICE? No
Does your school provide distance-learning options for deported students to complete their degrees? Yes
Does your school provide confidential legal support to students with immigration law questions and issues? Not currently</t>
  </si>
  <si>
    <t>sdcc</t>
  </si>
  <si>
    <t>Are undocumented students considered international or domestic
Domestic since you live in the US
Are you need-blind for undocumented students?
We are need blind for admission
Are there any restrictions on merit aid for undocumented students at your school?
no
Does your school provide merit aid specially for undocumented students?
all students when they apply are reviewed for scholarships as we review their application for admission
Would you advice an undocumented student to reveal their status in their application or subsequent email?
Their status would be irrelevant to the process. Whatever the student is comfortable with. 
How would their status affect their application?It would not affect their applciation
Is there a special contact point for undocumented students?
Their admission counselor assigned to where they live would be their admission counselor
What other piece of advice would you give an undocumented student hoping for admission at your school?
We will help them in any way we can.</t>
  </si>
  <si>
    <t xml:space="preserve">Are undocumented students eligible for need-based aid? 
Students can do a paper fafsa. We can download it and send it to us through a paper option. 
What financial aid application should undocumented students send? The CSS, FAFSA, ISFAA or a form unique to your school? 
FAFSA, paper only 
If need-based aid is not available, is there a feasible path undocumented students can take to pay for their education with stackable merit scholarships, loans and/or grants from your school? 
They can apply for any of the additional scholarships we have available too (there are two of them) 
What would be the requirements for such scholarships and what would a student's chances of getting them? 
(requirements are listed here and if they meet qualifications they will be fully considered: https://www.slu.edu/financial-aid/types-of-aid/scholarships.php)
</t>
  </si>
  <si>
    <t>Are there organized groups or clubs comprised of or advocating for undocumented students in your school?
How often does your office receive applications from undocumented students? 
We receive many of them each year
Does your school allow Immigration and Customs Enforcement (ICE) officers onto campus without a warrant? no
Does the campus police enforce immigration law? yes
Does your school share student immigration status with ICE? no
Does your school provide distance-learning options for deported students to complete their degrees? Not sure
Does your school provide confidential legal support to students with immigration law questions and issues? not sure</t>
  </si>
  <si>
    <t>slu</t>
  </si>
  <si>
    <t>Are undocumented students considered international or domestic? 
Undocumented students are considered domestic.
Are you need-blind for undocumented students? 
Yes, Norwich University is need-blind for all students.
Are there any restrictions on merit aid for undocumented students at your school?
No. All students qualify for our academic scholarships.
Does your school provide merit aid specially for undocumented students? 
No. The academic scholarships awarded are not based on citizenship status.
Would you advice an undocumented student to reveal their status in their application or subsequent email? 
Yes.
How would their status affect their application?It would not impact the admissions decision whatsoever.
Is there a special contact point for undocumented students? 
No. Students would work with their assigned Admissions Counselor based on their state of residence.</t>
  </si>
  <si>
    <t>Are undocumented students eligible for need-based aid? Yes.
What financial aid application should undocumented students send? The CSS, FAFSA, ISFAA or a form unique to your school? CSS Profile.
If need-based aid is not available, is there a feasible path undocumented students can take to pay for their education with stackable merit scholarships, loans and/or grants from your school? N/A
What would be the requirements for such scholarships and what would a student's chances of getting them? N/A</t>
  </si>
  <si>
    <t>Are there organized groups or clubs comprised of or advocating for undocumented students in your school? 
Not for undocumented students, specifically.
How often does your office receive applications from undocumented students? 
Yearly. Typically 5-10 undocumented students each year.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Yes
Does your school provide confidential legal support to students with immigration law questions and issues? No</t>
  </si>
  <si>
    <t>norwich</t>
  </si>
  <si>
    <t>Are undocumented students considered international or domestic?
Not so simple. They are read by territory which is assigned by where you go to high school. For aid awarding purposes, regardless of territory, they are treated as international citizens unless they have DACA status. 
Are you need-blind for undocumented students? 
We are need aware for all applicants. 
Are there any restrictions on merit aid for undocumented students at your school? No
Does your school provide merit aid specially for undocumented students? No
Would you advice an undocumented student to reveal their status in their application or subsequent email? Yes
How would their status affect their application?? 
Their status would impact the way we are able or unable to award aid, and this may impact the final admission decision as we are need aware. 
Is there a special contact point for undocumented students? 
Not in the office of Admission, no.
What other piece of advice would you give an undocumented student hoping for admission at your school? 
Do the very best you can in your high school classes.</t>
  </si>
  <si>
    <t>Are undocumented students eligible for need-based aid? 
Not without DACA status. 
What financial aid application should undocumented students send? The CSS, FAFSA, ISFAA or a form unique to your school? 
The FAFSA and the CSS Profile
If need-based aid is not available, is there a feasible path undocumented students can take to pay for their education with stackable merit scholarships, loans and/or grants from your school? No
What would be the requirements for such scholarships and what would a student's chances of getting them? NA</t>
  </si>
  <si>
    <t>Are there organized groups or clubs comprised of or advocating for undocumented students in your school? 
I am unsure.
How often does your office receive applications from undocumented students?
Through the Common or Coalition App Sites
Does your school allow Immigration and Customs Enforcement (ICE) officers onto campus without a warrant? 
Not to my knowledge.
Does the campus police enforce immigration law? 
This is unclear for me. When the federal government gives us directives, we follow.
Does your school share student immigration status with ICE? No
Does your school provide distance-learning options for deported students to complete their degrees? No
Does your school provide confidential legal support to students with immigration law questions and issues? No</t>
  </si>
  <si>
    <t>Mount Holyoke allows women, non-binary and transgender males and females to apply. If you identify as a cis-gender male, you will not be eligible to apply.</t>
  </si>
  <si>
    <t>mtholyoke</t>
  </si>
  <si>
    <t xml:space="preserve">Are undocumented students considered international or domestic? Domestic.
Are you need-blind for undocumented students? Yes.
Are there any restrictions on merit aid for undocumented students at your school? No.
Does your school provide merit aid specially for undocumented students? 
Not specifically, but all are eligible.
Would you advice an undocumented student to reveal their status in their application or subsequent email? 
Yes. We can often determine undoc status based on the answers to citizenship, visa, and school address information, but it's always helpful to have this confirmation for our review process.
How would their status affect their application?It does not affect their application for admission. We review students contextually, so being undoc is part of their lived experience, and we will consider that fact along with all other information in the file.
Is there a special contact point for undocumented students? 
Students can reach out to any of our admissions deans or financial aid officers. Natalie Gainer in the Admissions office works with our undocumented students closely.
What other piece of advice would you give an undocumented student hoping for admission at your school?
I see more and more students who decide not to apply because of their status. I hope students see our policies and understand that Swarthmore College welcomes undocumented and DACAmented students each year with the same considerations we give to domestic applicants.
</t>
  </si>
  <si>
    <t>Are undocumented students eligible for need-based aid? Yes.
What financial aid application should undocumented students send? The CSS, FAFSA, ISFAA or a form unique to your school? 
The CSS and accompanying materials and documents as required on the financial aid checklist (accessible after a student applies).
If need-based aid is not available, is there a feasible path undocumented students can take to pay for their education with stackable merit scholarships, loans and/or grants from your school?
What would be the requirements for such scholarships and what would a student's chances of getting them?</t>
  </si>
  <si>
    <t>Are there organized groups or clubs comprised of or advocating for undocumented students in your school? 
Yes, there's an organized student group for undocumented students, as well as students with undocumented family members. All are welcome. We also have a professional staff member who serves as an advisor to our undocumented students.
How often does your office receive applications from undocumented students? We receive a few hundred applications each year, though we have seen this number steadily decrease over the past few years while the number of other student groups (first generation, international students, etc.) have increased. We want to do whatever we can to reverse this trend.
Does your school allow Immigration and Customs Enforcement (ICE) officers onto campus without a warrant? No.
Does the campus police enforce immigration law? No. 
Does your school share student immigration status with ICE? No, we will not voluntarily share information with immigration authorities.
Does your school provide distance-learning options for deported students to complete their degrees? No, we do not have this in place, though we are not aware of any deported Swarthmore students in recent memory. 
Does your school provide confidential legal support to students with immigration law questions and issues? Yes, for free.</t>
  </si>
  <si>
    <t>Natalie Gainer</t>
  </si>
  <si>
    <t>Please find more information here:
https://www.swarthmore.edu/admissions-aid/undocumented-students
https://www.swarthmore.edu/news-events/swarthmore-board-pledges-sanctuary-undocumented-students-all-community-members</t>
  </si>
  <si>
    <t>swarthmore</t>
  </si>
  <si>
    <t>Are undocumented students considered international or domestic? These students work with our domestic recruiters as they would not be going through the I-20 process.
Are you need-blind for undocumented students? Yes, at this time, Stetson is need blind for all populations. We are moving to a system that would allow us to be a bit more need aware to help provide need based aid appropriately to students.
Are there any restrictions on merit aid for undocumented students at your school? Students who are admitted are considered for merit based scholarships. We do not restrict merit scholarships to any particular group of students.
Does your school provide merit aid specially for undocumented students? We do not have a special scholarship program specifically for undocumented students.
Would you advice an undocumented student to reveal their status in their application or subsequent email? I have found that most students are only willing to share this information via phone. We do not advise either way but are working to update or applications to have a status for citizenship pending status that could be used for undocumented, those seeking asylum, DACA, etc.
How would their status affect their application?e take a holistic approach to reviewing all applications in the admission process. 
Is there a special contact point for undocumented students? No but most of these students interact at some point with the International Recruiter.
What other piece of advice would you give an undocumented student hoping for admission at your school? We encourage all students to apply if they believe that Stetson is a good fit for them.</t>
  </si>
  <si>
    <t>Are undocumented students eligible for need-based aid? We use the FAFSA and CSS Profile to determine need based aid. If the student is undocumented they are usually unable to fill these out and generally just receive merit based awards.
What financial aid application should undocumented students send? The CSS, FAFSA, ISFAA or a form unique to your school? We accept the FAFSA and CSS Profile.
If need-based aid is not available, is there a feasible path undocumented students can take to pay for their education with stackable merit scholarships, loans and/or grants from your school? We do have a request for review process in which students can request more funding based on circumstance.
What would be the requirements for such scholarships and what would a student's chances of getting them? They would fill out the form and provide documentation to share with the committee. The committee reviews the information and provides an update to the student.</t>
  </si>
  <si>
    <t>Are there organized groups or clubs comprised of or advocating for undocumented students in your school? We do not have a specific group but Stetson promotes global citizenship and advocacy of all students.
How often does your office receive applications from undocumented students?
Every year we receive applications from undocumented students.
Does your school allow Immigration and Customs Enforcement (ICE) officers onto campus without a warrant? I am trying to find this information out.
Does the campus police enforce immigration law? Stetson does not have a campus police force but rather a Public Safety Department. They do not enforce immigration laws.
Does your school share student immigration status with ICE? No. This is considered protected student data under FERPA.
Does your school provide distance-learning options for deported students to complete their degrees? Stetson does not have a robust distance-learning options.
Does your school provide confidential legal support to students with immigration law questions and issues?</t>
  </si>
  <si>
    <t>stetson</t>
  </si>
  <si>
    <t>Are undocumented students considered international or domestic?
- If the student has been living in the US for more than 1 year or is graduating from a high school here in the US, the student would be considered a domestic student.
Are you need-blind for undocumented students?
- We are not officially a need-blind institution, however, every student is admitted as long as the admission requirements are met. You can learn more about our Admission Requirements at https://www.unr.edu/admissions/undergraduate/freshman/requirements
Are there any restrictions on merit aid for undocumented students at your
school?
- Not at all. Undocumented students can qualify for all of our institutional scholarships. https://www.unr.edu/financial-aid/scholarships/first-year-scholarships
Does your school provide merit aid specially for undocumented students?
- We do not have specific scholarships for undocumented students but as mentioned before, students can qualify for our general institutional scholarships
Would you advice an undocumented student to reveal their status in their
application or subsequent email?
- It is totally up to the comfort level of the student. They can disclose this information and we can provide information on additional services we have available but if the student does not want to disclose this information in the admission application, they completely do not have to.
How would their status affect their application?
- It would not at all as long as they meet the admission requirements.
Is there a special contact point for undocumented students?
- We have a website available full of resources available for our undocumented and DACA students. https://www.unr.edu/equal-opportunity-title-ix/resources/daca
What other piece of advice would you give an undocumented student hoping
for admission at your school?
- Worry about your academics and not your undocumented status. Your status will have zero impact in the admission decision with us.</t>
  </si>
  <si>
    <t>Are undocumented students eligible for need-based aid?
- Yes. Instead of submitting a FAFSA, students can submit an Institutional Methodology Form which acts like an in house FAFSA application for those students that do not have a social security number and are unable to submit a FAFSA. We will look into family income and determine aid need from that.
What financial aid application should undocumented students send? The CSS,
FAFSA, ISFAA or a form unique to your school?
- We have a form called Institutional Methodology and can be found under our Financial Aid Forms website at https://www.unr.edu/financial-aid/apply/forms .
If need-based aid is not available, is there a feasible path undocumented
students can take to pay for their education with stackable merit
scholarships, loans and/or grants from your school?
- Need base is available.
What would be the requirements for such scholarships and what would a
student's chances of getting them?
- Requirements for our institutional scholarships can be found at https://www.unr.edu/financial-aid/scholarships/first-year-scholarships . Questions should be directed to the Financial Aid office.</t>
  </si>
  <si>
    <t>If you have additional questions about resources for undocumented and DACA students, we recommend reaching out to our Equal Opportunity &amp; Title IX office. Please visit https://www.unr.edu/equal-opportunity-title-ix/resources/daca for more information.</t>
  </si>
  <si>
    <t>unr</t>
  </si>
  <si>
    <t>Are undocumented students considered international or domestic? - Domestic
Are you need-blind for undocumented students? - Yes
Are there any restrictions on merit aid for undocumented students at your school? - No
Does your school provide merit aid especially for undocumented students? – Students who reside in Minnesota are invited to complete the MN Dream Act application, which helps to replace FAFSA information to determine eligibility for institutional need-based aid
Would you advice an undocumented student to reveal their status in their application or subsequent email? – The student can email their admissions counselor after they apply to the university
How would their status affect their application?? - No
Is there a special contact point for undocumented students? – Their assigned admission counselor and the Assistant Director of Financial Aid
What other piece of advice would you give an undocumented student hoping for admission at your school? – Their status will not prevent them from being admitted, so long as they meet the admission requirements</t>
  </si>
  <si>
    <t>Are undocumented students eligible for need-based aid? - Students who reside in Minnesota are invited to complete the MN Dream Act application, which helps to replace FAFSA information to determine eligibility for institutional need-based aid
What financial aid application should undocumented students send? The CSS, FAFSA, ISFAA or a form unique to your school? – FAFSA. Minnesota residents should submit the MN Dream Act application
If need-based aid is not available, is there a feasible path undocumented students can take to pay for their education with stackable merit scholarships, loans and/or grants from your school? – Merit scholarships are awarded based on academic performance and participation in other areas (ie: talent, college access, etc.)
What would be the requirements for such scholarships and what would a student's chances of getting them? – All applicants are eligible to receive merit scholarships provided they meet the requirements</t>
  </si>
  <si>
    <t>Are there organized groups or clubs comprised of or advocating for undocumented students in your school? – Not currently
How often does your office receive applications from undocumented students? – A few each year
Does your school allow Immigration and Customs Enforcement (ICE) officers onto campus without a warrant? - SEVP Field Representatives (part of ICE) visit campus annually to discuss F-1 international students. To my knowledge we don't have a policy if ICE were to do an unannounced visit for other students, but our Registrar's office would be involved if so.
Does the campus police/security team enforce immigration law? - No
Does your school share student immigration status with ICE? - Yes, for F-1 international students through required federal reporting. We are not aware of any required reporting for undocumented students.
Does your school provide distance-learning options for deported students to complete their degrees? – Has not happened to my knowledge?
Does your school provide confidential legal support to students with immigration law questions and issues? - No</t>
  </si>
  <si>
    <t>csp</t>
  </si>
  <si>
    <t xml:space="preserve">Are undocumented students considered international or domestic?
They are considered international students for admission purposes, but we do offer out of state tuition waivers 
Are you need-blind for undocumented students?
We do not take a student's financial decision into account when determine eligibility for admission. Only a student's academics are considered. 
Are there any restrictions on merit aid for undocumented students at your school?
You can find information on our international scholarship opportunities here: https://scholarships.louisiana.edu/international
Does your school provide merit aid specially for undocumented students?
You can find information on our international scholarship opportunities here: https://scholarships.louisiana.edu/international
Would you advice an undocumented student to reveal their status in their application or subsequent email?
Yes, we do ask citizenship status on our application (which is non-U.S. citizen), then the application would select undocumented (for visa type)
How would their status affect their application?Their status in the country does not affect admission nor the decisioning processing. 
Is there a special contact point for undocumented students?
Admissions decisions are based solely on academics provided. The point of contact is Kristina Bernard, email intladmissions@louisiana.edu.
What other piece of advice would you give an undocumented student hoping for admission at your school? 
We do not hold any bias on any applicants, if a student is not meeting admission to the university, we discuss what the options are to meet eligibility via email or letter in the mail. 
</t>
  </si>
  <si>
    <t xml:space="preserve">Are undocumented students eligible for need-based aid?
Federal funding is not available to international nor undocumented students unless they hold a citizenship status that have been approved by the federal government to receive aid
What financial aid application should undocumented students send? The CSS, FAFSA, ISFAA or a form unique to your school?
If need-based aid is not available, is there a feasible path undocumented students can take to pay for their education with stackable merit scholarships, loans and/or grants from your school?
Feel free to email finaid@louisiana.edu for additional information on this. Also visit: https://financialaid.louisiana.edu/content/eligibility-policies/citizenship-selective-service. We do offer payment plans to allow students to pay their tuition throughout the semester: https://bursar.louisiana.edu/payment-options/payment-plan-option.
What would be the requirements for such scholarships and what would a student's chances of getting them?
We offer academic scholarships (a student can only meeting eligibility for one scholarship): https://scholarships.louisiana.edu/international.
As well as the payment plan option: https://bursar.louisiana.edu/payment-options/payment-plan-option
</t>
  </si>
  <si>
    <t>Are there organized groups or clubs comprised of or advocating for undocumented students in your school?
We do not have specific group for undocumented students, but we do try our best to assist students in acclimating to the university and try to pair them with other international students if that is needed: https://internationalaffairs.louisiana.edu/prospective-students/prospective-students.
How often does your office receive applications from undocumented students?
Each semester we receive undocumented student applications, and they are processed accordingly.
Does your school allow Immigration and Customs Enforcement (ICE) officers onto campus without a warrant?
This is a question for our Division of Global Engagement/ Office of International Affairs: https://globalengagement.louisiana.edu/. You can email them at ioa@louisiana.edu. 
Does the campus police enforce immigration law?
Again, this would be best suited for the OIA staff to answer. 
Does your school share student immigration status with ICE?
This one as well is for OIA 
Does your school provide distance-learning options for deported students to complete their degrees?
We do offer several academic programs that are completed solely online. Please keep in mind these programs have a flat tuition rate and not all programs are for first time college students. You can email online@louisiana.edu to find out exactly which ones are for first time and or transferring college students. https://online.louisiana.edu/programs
Does your school provide confidential legal support to students with immigration law questions and issues?
We do not have an immigration attorney on campus for students , we do our best to support students and if asked specifically for recommendations we point them in the direction of finding someone to best suit the student's needs.</t>
  </si>
  <si>
    <t>intladmissions@louisiana.edu Kristina Bernard</t>
  </si>
  <si>
    <t>louisiana</t>
  </si>
  <si>
    <t>Are undocumented students considered international or domestic?
Undocumented students are considered international students, but since we are a private insitution, there is no difference in tuition for them. We do not have in-state vs. out-of-state tuition. all students pay the same amount for tuition, room and board, and fees. 
Are you need-blind for undocumented students?
Yes, we offer undocumented students with merit-based scholarships. Since undocumented students are not eligible to complete the FAFSA, we have a Financial Responsibility Form they can complete instead that will determine students' financial need and their eligibility for need-based scholarships.
Are there any restrictions on merit aid for undocumented students at your school?
No, undocumented students qualify for merit-based scholarships too. 
Does your school provide merit aid specially for undocumented students?
Our school does not provide merit aid specifically for undocumented students through our own means. However, we partner with Golden Door Scholars to offer scholarships to undoumented, TPS, or DACA students that covers the full cost of tuition, room and board, and fees. Students apply for this scholarship through goldenscholars.org. Students must have a high GPA, take rigorous high school courses, and be an active member in their community or in leadership positions.
Would you advice an undocumented student to reveal their status in their application or subsequent email?
They can reveal their status on their application but can reach out to our enrollment officer that communicates with international students or our Spanish-speaking enrollment officer if they have any specific questions. 
How would their status affect their application?It would not affect their application - only financial aid.
Is there a special contact point for undocumented students?
Yes! Our enrollment officer for international students is Darin Hinson (d.hinson@wingate.edu). If they were to need help in Spanish, they can also reach out to our Spanish-speaking enrollment officer, Mayra Rosales (m.rosales@wingate.edu). 
What other piece of advice would you give an undocumented student hoping for admission at your school?
Do not be discouraged by your legal status. We are welcoming to all students! If you have any questions about the college process, we are here to help whether you come here</t>
  </si>
  <si>
    <t>Are undocumented students eligible for need-based aid?
Yes. 
What financial aid application should undocumented students send? The CSS, FAFSA, ISFAA or a form unique to your school?
Once admitted, students can complete the Financial Responsibility Form that is specific to our school.
If need-based aid is not available, is there a feasible path undocumented students can take to pay for their education with stackable merit scholarships, loans and/or grants from your school?
N/A 
What would be the requirements for such scholarships and what would a student's chances of getting them?
The need-based scholarships offered through the Financial Responsibility Form are based on their parent's income information. Their chances of obtaining need-based aid is dependent on the information provided on their Financial Responsibility form and additional documentation to supplement their completion of the form.</t>
  </si>
  <si>
    <t xml:space="preserve">Are there organized groups or clubs comprised of or advocating for undocumented students in your school?
Yes, our Latin American Student Association advocates for and is inclusive of undocumented students. In addition, our Office of Diversity and Inclusion also works to aid our undocumented students in their colelge experience. 
How often does your office receive applications from undocumented students?
We do not have any specific totals of applications from undocumented students as their applications are treated the same as our students with legal status. We do have the most Golden Door scholars. 
To the three questions below, I am not aware that we do any of these things. 
Does your school allow Immigration and Customs Enforcement (ICE) officers onto campus without a warrant?
Does the campus police enforce immigration law?
Does your school share student immigration status with ICE?
Does your school provide distance-learning options for deported students to complete their degrees?
Does your school provide confidential legal support to students with immigration law questions and issues? 
</t>
  </si>
  <si>
    <t>Darin Hinson (d.hinson@wingate.edu) Mayra Rosales (m.rosales@wingate.edu)</t>
  </si>
  <si>
    <t>wingate</t>
  </si>
  <si>
    <t>Are undocumented students considered international or domestic at Bryant University?
From an admission stand point we don’t necessarily categorize student in these terms. We review application from a geographical and school breakdown. You will see in answers to later questions were the differences for undocumented students will come in.
Are you need-blind for undocumented students?
We are need blind in the application review for all students.
Are there any restrictions on merit aid for undocumented students at your school?
All applicants to Bryant University are eligible for the same level of merit scholarships.
Does your school provide merit aid specially for undocumented students?
There is not a specific merit award designated for undocumented students. Undocumented students are eligible for the same scholarship as all other applications.
Would you advice an undocumented student to reveal their status in their application or subsequent email?
I would advise you to reveal what you are comfortable with sharing. Being an undocumented student will have no bearing on the way we review your application. Sharing this could help us have more information on how to best help you through the process but again it is completely your choice.
How would their status affect their application?
A undocumented status will have no impact on the review of the application. We review international, domestic and undocumented students using the same evaluation techniques.
Is there a special contact point for undocumented students at Bryant University?
To my understanding there is not a specific person on campus but between the admission office, financial aid office and student support offices there a people on campus that can help support undocumented students.
What other piece of advice would you give an undocumented student hoping for admission at your school?
I would give you the same advice I would give to any applicant to Bryant. The admission process is designed to evaluate your ability and do you have the skill set to be successful in a Bryant curriculum. We are focused on your past academic performance but also are evaluating all pieces of your application. Throughout the application I would try to give insight into how you past experiences have prepared you, a look in to your personality, what your are passionate about and why you are interested in studying at Bryant.</t>
  </si>
  <si>
    <t>Are undocumented students eligible for need-based aid?
Undocumented students are not eligible for need-based aid.
What financial aid application should undocumented students send? The CSS, FAFSA, ISFAA or a form unique to your school?
Since undocumented students are not eligible for aid you will not need to submit any of these documents.
If need-based aid is not available, is there a feasible path undocumented students can take to pay for their education with stackable merit scholarships, loans and/or grants from Bryant University?
This is really dependent on you individual circumstances and the level of scholarship you receive if you are to receive scholarship. Finances do become more challenging for many undocumented students because of the lack of access to need-based aid. For some students there is a feasible path to study at Bryant. The best way to judge this is to go through the admission process to find out the options for you and then make a decision that works best for you and your personal circumstances.
What would be the requirements for such scholarships and what would a student's chances of getting them?
All applicants to Bryant are automatically considered for merit based scholarship upon completion of their application. Not all students receive scholarship but it is fair to say a healthy majority will receive some form of a merit based award.</t>
  </si>
  <si>
    <t>Are there organized groups or clubs comprised of or advocating for undocumented students in Bryant UniversityMSU has a social justice agenda but I do not believe it specifically addresses the issues in the spirit of this question.
How often does your office receive applications from undocumented students? I know we have some students who are undocumented on campus. 
Does your school allow Immigration and Customs Enforcement (ICE) officers onto campus without a warrant?
Does the campus police enforce immigration law?
Does your school share student immigration status with ICE? This question is asking a larger question that likely needs to be addressed structurally. Specifically, what we currently do is share information with ICE via the Student and Exchange Visitor Program (SEVIS) which we commonly know as F-1 International students. I do not believe Kaoru (PDSO) or any of the DSOs share any other information beyond what we do in SEVIS. But again, this question is asking a larger philosophical question and likely more in relation to FERPA than SEVIS. 
Does your school provide distance-learning options for deported students to complete their degrees?
Does your school provide confidential legal support to students with immigration law questions and issues?</t>
  </si>
  <si>
    <t>bryant</t>
  </si>
  <si>
    <t>Are undocumented students considered international or domestic?
Undocumented students are considered domestic. As a sanctuary campus, we don’t automatically differentiate between international and undocumented, so some additional requirements may populate in their application portal. All they have to do is email us to let us know their status and we will waive the additional requirements.
Are you need-blind for undocumented students?
We are need-blind for all domestic students, yes.
Are there any restrictions on merit aid for undocumented students at your school?
No, there are no scholarship restrictions for domestic students. All scholarship awards are based on merit and strength of the applicant.
Does your school provide merit aid specially for undocumented students?
We do not provide scholarships specifically or undocumented students.
Would you advice an undocumented student to reveal their status in their application or subsequent email?
The CommonApp requires students to complete a section asking about citizenship and visa status.
How would their status affect their application?Undocumented citizenship status does not affect their application.
Is there a special contact point for undocumented students?
All undocumented students are read by our International Admission Counselor, Shim Shimaz. again, as a sanctuary campus, we do not separate international students from undocumented students in our system.
What other piece of advice would you give an undocumented student hoping for admission at your school?
We are a safe space and many of my colleagues and I have worked with both first-gen and undocumented students for several years.</t>
  </si>
  <si>
    <t>Are undocumented students eligible for need-based aid?
Undocumented CA residents may qualify for the Cal Grant by submitting the California Dream Act Application.
What financial aid application should undocumented students send? The CSS, FAFSA, ISFAA or a form unique to your school?
We only accept the California Dream Act Application from CA residents. Out-of-state applicants don’t qualify for need-based aid through Whittier College.
If need-based aid is not available, is there a feasible path undocumented students can take to pay for their education with stackable merit scholarships, loans and/or grants from your school?
We recommend seeking out outside scholarships for undocumented students or childhood arrivals.
What would be the requirements for such scholarships and what would a student's chances of getting them?
We don’t set the requirements for outside scholarships.</t>
  </si>
  <si>
    <t>Are there organized groups or clubs comprised of or advocating for undocumented students in your school?
The Office of Equity and Inclusion offers programming and resources to our first-gen and undocumented students.
How often does your office receive applications from undocumented students?
We regularly receive applications from undocumented students.
Does your school allow Immigration and Customs Enforcement (ICE) officers onto campus without a warrant?
Please click the link to read our Poet Student Sanctuary Protections Policy. In essence, should ICE come to campus we will not knowingly or willingly share information on any of our students. We also have a campus alert system in place should ICE come to our campus.
Does the campus police enforce immigration law?
No, it does not.
Does your school share student immigration status with ICE?
No, we do not.
Does your school provide distance-learning options for deported students to complete their degrees?
Currently we do because of distance-learning, however that is not a topic of discussion that has come up when considering special accommodations to this specific group.
Does your school provide confidential legal support to students with immigration law questions and issues?
I don’t know the answer to that question. I don’t believe we do and I’m not sure who would be the best department to ask. There are, however, law offices that specialize in immigration law within walking distance of the college.</t>
  </si>
  <si>
    <t xml:space="preserve">We only accept the California Dream Act Application from CA residents. Out-of-state applicants don’t qualify for need-based aid through Whittier College.
</t>
  </si>
  <si>
    <t>whittier</t>
  </si>
  <si>
    <t>Are undocumented students considered international or domestic? 
Domestic
Are you need-blind for undocumented students? 
We are need-blind for all students, regardless of classification, residency, or citizenship.
Are there any restrictions on merit aid for undocumented students at your school? 
No.
Does your school provide merit aid specially for undocumented students? 
Yes.
Would you advice an undocumented student to reveal their status in their application or subsequent email? 
The only time a student may need to provide further documentation is if they are trying to provide evidence of their ASSET eligibility - https://www.colorado.edu/financialaid/apply-aid/asset
How would their status affect their application?? 
It will not. If a student reveals this information, it can provide additional context for us to understand the unique challenges they have experienced. But, it’s not a factor we consider when making an admissions decision. 
Is there a special contact point for undocumented students? 
As a prospective applicant, students should work with their region-specific admissions counselor. Each counselor is trained to support undocumented students. This website might also be helpful - https://www.colorado.edu/admissions/apply/undocumented-students
What other piece of advice would you give an undocumented student hoping for admission at your school? 
The website above is helpful to guide students through the process.</t>
  </si>
  <si>
    <t>Are undocumented students eligible for need-based aid? 
We provide need-based aid for undocumented students who qualify for CO in-state tuition under the Colorado ASSET bill: https://www.colorado.edu/financialaid/apply-aid/asset. Undocumented students who are not residents of CO, are not eligible for need-based aid.
What financial aid application should undocumented students send? The CSS, FAFSA, ISFAA or a form unique to your school?
We accept the new CO state application: https://cdhesnapprod.regenteducation.net/
If need-based aid is not available, is there a feasible path undocumented students can take to pay for their education with stackable merit scholarships, loans and/or grants from your school?
https://www.colorado.edu/undocumentedstudentresources/student-resources. there are merit scholarships available to all students and we recommend students search for private banks who offer loans to undocumented or international students. Here are just a couple that we’re aware of:
· Citizens Bank requires that international student borrowers have a creditworthy cosigner who is a U.S. citizen or permanent resident: https://studentloanhero.com/featured/citizens-bank-student-loans-review/
· MPOWER Financing is one lender that doesn’t require DACA students to have a cosigner: https://studentloanhero.com/featured/mpower-financing-review/
What would be the requirements for such scholarships and what would a student's chances of getting them? 
Requirements are listed on the webpages mentioned in the previous questions, but of course important to note that scholarship are highly competitive.</t>
  </si>
  <si>
    <t>colorado</t>
  </si>
  <si>
    <t>Are undocumented students considered international or domestic?
Domestic
Are you need-blind for undocumented students?
We are need-blind all applications.
Are there any restrictions on merit aid for undocumented students at your school?
Merit scholarships are solely based on merit, nothing else.
Does your school provide merit aid specially for undocumented students?
There are no scholarships specific to undocumented students. There are additional scholarships available for special programs. To be eligible, you need to complete your application by December 1.
Would you advice an undocumented student to reveal their status in their application or subsequent email?
Yes, because then we can help you with the need-based aid process and connect you with various support services on campus.
How would their status affect their application?? 
Citizenship status plays no factor in the admissions process.
Is there a special contact point for undocumented students?
Nope! You'll work with your admissions counselor for your high school.
What other piece of advice would you give an undocumented student hoping for admission at your school?
Do not stress about your status in the admissions process. When we review your application, we want to see that you'll be a good fit on our campus and a successful student.</t>
  </si>
  <si>
    <t>Are undocumented students eligible for need-based aid?
Yes and we will help you with this process.
What financial aid application should undocumented students send? The CSS, FAFSA, ISFAA or a form unique to your school?
We have our own version of the FAFSA that we will have you complete for need-based aid.
If need-based aid is not available, is there a feasible path undocumented students can take to pay for their education with stackable merit scholarships, loans and/or grants from your school?
You can stack scholarships with need-based aid.
What would be the requirements for such scholarships and what would a student's chances of getting them?
Scholarships are based on merit: grades, extra-curricular and leadership activities, any test scores you decide to submit, etc. Most students qualify for some level of scholarship.</t>
  </si>
  <si>
    <t>Are there organized groups or clubs comprised of or advocating for undocumented students in your school?
We do have a committee of staff and faculty who discuss needs of undocumented students, to make sure they are supported on campus. We have various departments that advocate for and offer support services for undocumented students.
How often does your office receive applications from undocumented students?
We get many applications every year from undocumented students.
Does your school allow Immigration and Customs Enforcement (ICE) officers onto campus without a warrant?
No, we would not. 
Does the campus police enforce immigration law?
Nope, our campus safety is a security team, not the police. 
Does your school share student immigration status with ICE?
We only share the information that we legally have to, such as student visa information. 
Does your school provide distance-learning options for deported students to complete their degrees?
I'm not sure we've run into this in the past, but we may be able to support a student who needs to be virtual for a short time.</t>
  </si>
  <si>
    <t>creighton</t>
  </si>
  <si>
    <t>The New School is committed to being a supportive and safe academic community for students of all backgrounds, regardless of their citizenship status. We would never release a student's information, and thoroughly adhere to FERPA regulations in the interest of student privacy. For more information about our policies, please visit our website: https://www.newschool.edu/student-advocacy/undocumented-students/, where we have gathered additional resources for prospective college-bound and currently enrolled students. Links include information for legal services, external scholarships, and NYC representation resources for undocumented students.
Please note, applicants to The New School who have undocumented status should apply as international applicants. All applicants to Parsons School of Design are automatically considered for merit scholarship based on a holistic evaluation of the application. For additional information, visit:
• How to Apply page for BFA and BBA applicants: https://www.newschool.edu/parsons/admission-undergraduate-design-program/ 
• In addition, on the Common Application, applicants who currently have DACA status will need to select "Other (Non-US)" for citizenship status. Then answer "No" for "Do you currently hold a valid U.S. Visa". Since deferred action does not provide an individual with lawful status, no other fields will be required.
• FERPA Student Records Privacy at The New School: https://www.newschool.edu/registrar/student-records-privacy-policy/ 
• International Student &amp; Scholar Services for visa information: https://www.newschool.edu/international-students-scholars/ 
• Student Financial Services pages for Financial Aid details: https://www.newschool.edu/financial-aid/
• FAFSA Tips for DACA students: https://studentaid.gov/sites/default/files/financial-aid-and-undocumented-students.pdf and External Scholarships: https://drive.google.com/drive/folders/1LN0HG8LDRiV81f1hCwpyvZfZrrpeT-lx 
• Additional helpful information at "My Undocumented Life": https://mydocumentedlife.org/ 
If you have further questions about the financial aid process, please contact finaid@newschool.edu.
Contact International Student Services at iss@newschool.edu and Parsons Advising at advisingfirstyear@newschool.edu for information about support services and our community support and advocacy for undocumented students.</t>
  </si>
  <si>
    <t>newschool</t>
  </si>
  <si>
    <t>As a public university in South Carolina, Coastal Carolina University must abide by state laws when considering applicants for admission: 
SECTION 59-101-430. Unlawful aliens. eligibility to attend public institution of higher learning. development of process for verifying lawful presence. eligibility for public benefits on basis of residence.
(A) An alien unlawfully present in the United States is not eligible to attend a public institution of higher learning in this State, as defined in Section 59-103-5. The trustees of a public institution of higher learning in this State shall develop and institute a process by which lawful presence in the United States is verified. In doing so, institution personnel shall not attempt to independently verify the immigration status of any alien, but shall verify any alien's immigration status with the federal government pursuant to 8 USC Section 1373(c).
(B) An alien unlawfully present in the United States is not eligible on the basis of residence for a public higher education benefit including, but not limited to, scholarships, financial aid, grants, or resident tuition.
HISTORY: 2008 Act No. 280, Section 17, eff June 4, 2008.
This excerpt is from South Carolina’s code of laws. A complete, unannotated Title 59 – Education resource can be accessed here: https://www.scstatehouse.gov/code/t59c101.php</t>
  </si>
  <si>
    <t>coastal</t>
  </si>
  <si>
    <t>Our policies are very clearly laid out on this URL:
https://www.american.edu/ocl/cdi/undocumented-students.cfm</t>
  </si>
  <si>
    <t>american</t>
  </si>
  <si>
    <t>We have a holistic review process and will consider all aspects of the application when evaluating a student for admissions at Georgetown University. You can read more about our suggested high school curriculum online: https://uadmissions.georgetown.edu/applying/preparation-process/. We generally look for students who are competitive in their classes and excel in those upper-level courses but will evaluate a student based on all aspects of their application. For statistics on the average scores of our admitted students please review the student profile here: https://georgetown.app.box.com/s/z4tgwmps28jo4hd83i1migipgjw43uuo. We strongly recommend you also review our preparation process page (https://uadmissions.georgetown.edu/applying/preparation-process/) and general information page (https://uadmissions.georgetown.edu/applying/first-year/) for more details on how to prepare to apply to Georgetown University. We have specific information about applying as an international applicant here: https://uadmissions.georgetown.edu/applying/international/.
We only offer need-based financial aid. We do not offer any merit-based scholarships. We are committed to meeting 100% of a student's demonstrated need and practice need-blind review for all US citizens, undocumented and DACA. Please contact the Office of Student Financial Services: (http://finaid.georgetown.edu/) with any specific questions. We would recommend that you contact them via their suggested methods posted on their website and if need, contact them via email at finfront@georgetown.edu. 
We strongly recommend that you connect with a current student to learn more about the programs that you've asked about. There are a few options for you and then please do not hesitate to call our office if you have any questions about the application process or life at Georgetown. Through GAAP you can email a state or regional chair (https://gaap.georgetown.edu/state-chairs/) or request a virtual coffee &amp; chat: https://gaap.georgetown.edu/coffee-chat/. You can also contact a tour guide (https://www.georgetowntourguides.com/) who is well versed in various programs, activities, and campus culture.
For more information we suggest attending a virtual information session, sign-ups can be found here: https://uapply.georgetown.edu/portal/virtualsession.
Please feel free to call our office at 202-687-3600 should you have any further questions or concerns that require immediate assistance.</t>
  </si>
  <si>
    <t>georgetown</t>
  </si>
  <si>
    <t>Are undocumented students considered international or domestic? - International students are considered domestic students. 
Are you need-blind for undocumented students? - Yes. 
Are there any restrictions on merit aid for undocumented students at your school? Undocumented students are not eligible to receive merit or need based funding. 
Does your school provide merit aid specially for undocumented students? Lincoln University does not provide dedicated scholarships or grants for undocumented students. 
Would you advice an undocumented student to reveal their status in their application or subsequent email? Yes, students can put their status on their admissions application. Their status will not be held against them.
How would their status affect their application?o 
Is there a special contact point for undocumented students? - The Office of Undergraduate Admissions
What other piece of advice would you give an undocumented student hoping for admission at your school? All students are treated equally during the application process regardless of race, gender, or citizenship status.</t>
  </si>
  <si>
    <t>lincoln</t>
  </si>
  <si>
    <t>Because of the nature of our financial aid award packages, undocumented students are considered international students in the application process. Colgate is need-aware for all applicants but meets 100% of demonstrated financial need, which is based on the CSS Profile. This means that there are some students who are receiving full financial aid packages on our campus. Colgate does not offer any academic merit aid or scholarships.</t>
  </si>
  <si>
    <t>It is up to each student whether they feel comfortable sharing that they are an undocumented student. Colgate does not publish how many undocumented students apply or how many enroll due to protect our students. Undocumented students can reach out to our Office of International Student Services so they can learn more about how Colgate supports their individual needs. They can be contacted at 315-228-6131 or oiss@colgate.edu.</t>
  </si>
  <si>
    <t>colgate</t>
  </si>
  <si>
    <t>Are undocumented students considered international or domestic at California State University Dominguez Hills?
Undocumented students (AB540) are considered California students in terms of tuition. they will pay the same tuition as a California student. When they apply within Cal State Apply, there is also an additional checkbox for our undocumented students. When you are completing Cal State Apply application, you would select “none” under US Citizenship, but for residency you would then claim “yes” for CA residency. All of our undocumented students will be required to complete a CA Non-Resident Tuition Exemption form as well. https://i.imgur.com/3jgvWh5.jpeg
Are you need-blind for undocumented students?
As a public institution in California, we do have students complete either the FAFSA or CA Dream Act in order to package students’ financial aid based on financial need
Are there any restrictions on merit aid for undocumented students at your school?
Besides scholarships federal aid and state aid are not based on merit but based on financial need
Does your school provide merit aid specially for undocumented students?
CSUDH has a Toro Dreamers Success Center and they do have a yearly scholarship specifically for our undocumented students.
Would you advice an undocumented student to reveal their status in their application or subsequent email?
My recommendation is to have students do what they are comfortable with. With that being said, our office works with many students and some who are undocumented. One of the reoccurring statements I hear our students say is how they were always afraid and unsure about revealing that part of themselves and their families until they came to CSUDH. Our community, our staff, our faculty are all acutely aware and understanding of our undocumented students and try to create an atmosphere where this status does not have to define a student nor be hidden. We want students to be comfortable with how they share this information but to have them understand that if they chose to share this information they will be supported.
How would their status affect their application??
Undocumented status does not affect a students’ application on tuition purposes
Is there a special contact point for undocumented students at California State University Dominguez Hills?
Yes, we have our Ana who is the Director for that program is a wonderful contact
What other piece of advice would you give an undocumented student hoping for admission at your school?
Since status does not actually affect admissions, my only advice for an undocumented student is to seek out all the resources that is available on campus.</t>
  </si>
  <si>
    <t xml:space="preserve">Are undocumented students eligible for need-based aid?
Undocumented students in CA should apply for the California Dream Act (https://dream.csac.ca.gov/) They follow the same timeline as FAFSA. Our undocumented students may qualify for certain grants through the CA Dream Act. Also, look for undocumented specific scholarships.
What financial aid application should undocumented students send? The CSS, FAFSA, ISFAA or a form unique to your school?
See answer above
If need-based aid is not available, is there a feasible path undocumented students can take to pay for their education with stackable merit scholarships, loans and/or grants from California State University Dominguez Hills?
Need based aid is CA Dream Act, all other aids like scholarships will be more based on merit, but with so many different scholarship opportunities out there I cannot speak for them all and a student would need to sift through the ones they feel most confident in obtaining.
What would be the requirements for such scholarships and what would a student's chances of getting them?
See answer above. Scholarships are typically personal funding so their requirements are going to vary drastically from one to another.
</t>
  </si>
  <si>
    <t>Are there organized groups or clubs comprised of or advocating for undocumented students in California State University Dominguez Hills?
Yes, not only is there the TDSC, but we also have a organization on campus called ENF: Immigrant Student Alliance (Espíritu de Nuestro Futuro: Immigrant Student Alliance). They are a student organization that advocates, protects and supports the rights of undocumented students’ access to higher education. Their email is enf.csudh@gmail.com
How often does your office receive applications from undocumented students?
Every year we receive applications from undocumented students.
Does your school allow Immigration and Customs Enforcement (ICE) officers onto campus without a warrant?
By federal law, any ICE agent is allowed on public spaces, however, the Office of the Chancellor has made a commitment not to break FERPA and share information with ICE agents who do not have a warrant.
Does the campus police enforce immigration law?
No, by California law, no police officer has the authority to act as an immigration agent.
Does your school share student immigration status with ICE?
No, this would be a violation of FERPA. However, we cannot stop a detention if the officers have a federal warrant.
Does your school provide distance-learning options for deported students to complete their degrees?
While we have online classes, and more now due to Covid restrictions, I cannot say that once we return back to in person classes if every major will offer an entirely online option. We do have majors that are entirely online, however, not all programs are online.
Does your school provide confidential legal support to students with immigration law questions and issues?
Yes, CSUDH students, faculty, staff and their immediate family members have access to free immigration legal services. They can make an appointment here: https://www.csudh.edu/dream-center/legal-services/</t>
  </si>
  <si>
    <t>Toro Dreamers Success center. tdsc@csudh.edu</t>
  </si>
  <si>
    <t>csudh</t>
  </si>
  <si>
    <t>Are undocumented students considered international or domestic?
For tuition purposes, an undocumented student, then tuition is assessed as a non-resident of Illinois. If the student meets the requirements of the Acevedo Bill (IL Public Act 93-0007) which was passed in 2003, the student may qualify for in-state tuition.
Are you need-blind for undocumented students?
ONLY Illinois students can apply for state aid but are still not eligible to apply for FAFSA.
Are there any restrictions on merit aid for undocumented students at your school?
95% of our scholarships are open to undocumented students, however, they must be Illinois high school graduates.
Does your school provide merit aid especially for undocumented students? 
There are some scholarships that students can apply for, but many require students to be Illinois high school graduates/residents. At our university, there is one scholarship specifically for Undocumented Students.
Would you advise an undocumented student to reveal their status in their application or subsequent email? 
The question is asked on the application and students would need to select Undocumented/DACA as their citizenship status.
How would their status affect their application??
It does not affect their application status, but it is used to determine resident/non-resident tuition.
Is there a special contact point for undocumented students? 
The University does have an office that works with providing students with resources: The Undocumented Student Resources Office but anyone in the Admissions Office can answer students' questions.
What other piece of advice would you give an undocumented student hoping for admission to your school? 
Look at your state's resources for undocumented students. Some states may be more welcoming than others and states may only have resources for the students that have graduated from high schools in those states.</t>
  </si>
  <si>
    <t>Are undocumented students eligible for need-based aid? 
ONLY state aid if the student has graduated from an Illinois high school.
What financial aid applications should undocumented students send? The CSS, FAFSA, ISFAA or a form unique to your school? 
The state of Illinois has a state aid application. WE DO NOT encourage students to apply for FAFSA since that is not a benefit, they are eligible to apply for and it can hurt them in the future if they use the FAFSA application. 
If need-based aid is not available, is there a feasible path the undocumented students can take to pay for their education with stackable merit scholarships, loans, and/or grants from your school? 
Private loans, savings, private scholarships, payment plans. Paying for college information for undocumented students: https://www.neiu.edu/university-life/undocumented-student-resources/students/paying-college.
What would be the requirements for such scholarships and what would a student's chances of getting them? 
The scholarships all have different requirements. Again, many of these scholarships may require that students be considered Illinois residents.</t>
  </si>
  <si>
    <r>
      <rPr>
        <sz val="10"/>
        <color rgb="FF000000"/>
        <rFont val="Arial"/>
      </rPr>
      <t xml:space="preserve">Are their organized groups or clubs comprised of or advocating for undocumented students in your school? 
Yes, there is a student organization for Undocumented Students and their allies.
How often does your office receive applications from undocumented students? 
It’s hard to determine that information since the University receives about 3000-4000 applications a year from different student classifications.
Does your school provide distance-learning options for deported students to complete their degrees? Pre-covid, we do not offer any distance learning options to any of our students. With classes being remote right now, it is possible that students could take classes outside of the US. It is hoped that starting Fall 2021 classes will return on-campus. 
Does your school allow the Immigration and Customs Enforcement (ICE) officers onto campus without a warrant? Technically, because we are a public university, anyone is welcome to come to NEIU and visit our campus. However, due to a federal law called FERPA that protects students' academic and directory information, NEIU would not disclose students' information to anyone, even if it is an immigration and customs officer, without a warrant or subpoena.
Here is more information: </t>
    </r>
    <r>
      <rPr>
        <u/>
        <sz val="10"/>
        <color rgb="FF1155CC"/>
        <rFont val="Arial"/>
      </rPr>
      <t>If ICE comes to campus</t>
    </r>
    <r>
      <rPr>
        <sz val="10"/>
        <color rgb="FF000000"/>
        <rFont val="Arial"/>
      </rPr>
      <t xml:space="preserve"> 
Do the campus police enforce immigration law? NEIU police are not immigration enforcers and they have a policy (page 301) 
Does your school share student immigration status with ICE? No.</t>
    </r>
  </si>
  <si>
    <t>neiu</t>
  </si>
  <si>
    <t>Are undocumented students considered international or domestic?
This may depend on how long the student has been living in the USA. It also depends on the address that the student lists in their application to the college. Obviously, if the student’s address is international then they will be considered an international student. If the student is applying internationally, we do need to start visa paperwork, but Dr. Mascorro knows way more about this than me.
Are there any restrictions on merit aid for undocumented students at your school?
I do not believe there is any merit aid for undocumented students, but Dr. Mascorro can best answer this question
Does your school provide merit aid specially for undocumented students?
Not as far as I am aware
Would you advice an undocumented student to reveal their status in their application or subsequent email?
This is up to the student entirely
How would their status affect their application?
No effect</t>
  </si>
  <si>
    <t>Dr. Karina Mascorro. Advisor for international students. kmascorro@ric.edu</t>
  </si>
  <si>
    <t>ric</t>
  </si>
  <si>
    <t>Given recent reports and concerns related to immigration around the country, the Office of Admissions wanted share our concern and support to students affected by recent increased Immigration and Customs Enforcement activity nationwide. Regardless of immigration status, we want all applicants to know that you are welcome here. You and your family are welcome to become an integral part of the DigiPen Dragon community.
Generally, DACA and other undocumented students are not eligible for federal, state, or institutional need-based financial aid due to eligibility criteria that requires either U.S. citizenship or other eligible noncitizen status (e.g., permanent residents of the U.S.) and/or the submission of the Free Application for Federal Student Aid (FAFSA). DACA students are not eligible to complete the FAFSA due to these federal regulations.
Due to the complexity and uncertainty (e.g., potential changes in admission criteria) caused by the global pandemic, you are strongly encouraged to apply to DigiPen and send required documents to us first. Once you have decided to apply to DigiPen, we can discuss further via Zoom, phone, or in person. As a reminder, you can submit your online application via https://management.digipen.edu/srs-app/applicationmenu.aspx.</t>
  </si>
  <si>
    <t>digipen</t>
  </si>
  <si>
    <t>Are undocumented students considered international or domestic?
Undocumented students are considered domestic students.
Are you need-blind for undocumented students?
We still require students to submit CSS profile, as we are need-aware intuitions.
Are there any restrictions on merit aid for undocumented students at your school?
All students can receive merit aid.
Does your school provide merit aid specially for undocumented students?
We do not offer any special merit aid for undocumented students.
Would you advice an undocumented student to reveal their status in their application or subsequent email?
It would depend on what the student is comfortable with. If they want to put it on their application, they can. If they rather email or call, they can do that as well. We truly want to make sure the student is comfortable in letting us know. 
How would their status affect their application?It does not affect their application.</t>
  </si>
  <si>
    <t>Are undocumented students eligible for need-based aid?
No. Need-based aid is given out based on the FAFSA.
What financial aid application should undocumented students send? The CSS, FAFSA, ISFAA or a form unique to your school?
We require the FAFSA and CSS profile. If a student cannot submit a FAFSA then they will just submit the CSS profile. 
If need-based aid is not available, is there a feasible path undocumented students can take to pay for their education with stackable merit scholarships, loans and/or grants from your school?
Students can bring in outside scholarships and loans to cover the cost.</t>
  </si>
  <si>
    <t>Are there organized groups or clubs comprised of or advocating for undocumented students in your school?
Yes GW Undocu https://www.instagram.com/undocugw/
How often does your office receive applications from undocumented students?
Every year.
Does your school allow Immigration and Customs Enforcement (ICE) officers onto campus without a warrant?
No
Does the campus police enforce immigration law?
No
Does your school share student immigration status with ICE?
We do not share the immigration status of undocumented students.
Does your school provide distance-learning options for deported students to complete their degrees?
Until the pandemic majority of classes were on campus. Going forward there will be a mix of classes available.
Does your school provide confidential legal support to students with immigration law questions and issues?
Yes.
GW Law -- Immigration Law Clinic
Please call between 9 a.m. and 5 p.m. on Tuesdays or Wednesdays. no walk-ins please: 202-994-7463
Website: https://www.law.gwu.edu/immigration-clinic</t>
  </si>
  <si>
    <t>Mr. Lowe at jdlowe@gwu.edu</t>
  </si>
  <si>
    <t>gwu</t>
  </si>
  <si>
    <t>Are undocumented students considered international or domestic?
Depends. Typically, they are considered domestic if they attended High School in Pennsylvania and can demonstrate a Pennsylvania high school diploma. If they have a high school diploma from another State, we typically consider them a domestic out-of-state student.
Are you need-blind for undocumented students?
Our merit process changes from year-to-year but all students are treated as admitted students once admitted and go through the same process regardless of legal status.
Are there any restrictions on merit aid for undocumented students at your school?
Yes, we are a federal grant recipient for Migrant Education and sometimes our undocumented students are able to take advantage of federal funding through that program.
Does your school provide merit aid specially for undocumented students?
No, but an undocumented student would be welcome to apply to the same endowed scholarships as US Citizens.
Would you advise an undocumented student to reveal their status in their application or subsequent email?
Yes, this would be helpful so that we can start strategizing on how best to help the student moving forward. We also understand that putting this in writing can be difficult so a phone call or Zoom session would also be okay.
How would their status affect their application?? 
It wouldn’t.
What other piece of advice would you give an undocumented student hoping for admission at your school?
Going to college as someone without legal status is difficult but is possible.</t>
  </si>
  <si>
    <t>Are undocumented students eligible for need-based aid?
No, undocumented students are not eligible for Federal or State need-based aid.
What financial aid application should undocumented students send? The CSS, FAFSA, ISFAA or a form unique to your school?
Any of these documents would be fine to send, but they would not help the student secure aid.
If need-based aid is not available, is there a feasible path undocumented students can take to pay for their education with stackable merit scholarships, loans and/or grants from your school?
It would be difficult, but it is possible. Having a plan early on is a must.
What would be the requirements for such scholarships and what would a student's chances of getting them?
This varies by student and by year. It would be best to have the student connect with us directly once they apply.</t>
  </si>
  <si>
    <t>Are there organized groups or clubs comprised of or advocating for undocumented students in your school?
We have groups that would advocate but are not specifically chartered to do so. We would also allow the creation of a specific group if the interest arose.
How often does your office receive applications from undocumented students?
Regularly. I typically have 1-2 students who self-identify as undocumented each recruitment cycle and several more who I suspect would identify the same way but choose not to disclose. 
Does your school allow Immigration and Customs Enforcement (ICE) officers onto campus without a warrant?
Double-checking on this with our Chief of Police to be sure
Does the campus police enforce immigration law?
Double-checking on this with our Chief of Police to be sure
Does your school share student immigration status with ICE?
Double-checking on this with our Chief of Police to be sure
Does your school provide distance-learning options for deported students to complete their degrees?
Students would need to work with faculty on making accommodations.
Does your school provide confidential legal support to students with immigration law questions and issues?
Our school does not provide specific confidential legal support services to students, but there are resources in our community like the PBA’s Pro Bono Services here: https://www.pabar.org/site/For-Lawyers/Pro-Bono-Services/Map/Lancaster.</t>
  </si>
  <si>
    <t>millersville</t>
  </si>
  <si>
    <t>Northwestern does not offer merit aid to any students. We offer only need-based financial aid. When completing the biographic and citizenship sections of the Common or Coalition App, you should provide all required information truthfully and correctly. Your Northwestern application would be at no disadvantage as a result of your undocumented status. In terms of application requirements, yours would be the same as all U.S. citizen and Permanent Resident undergraduate applicants.
We encourage you to view our Undocumented Student FAQs: https://admissions.northwestern.edu/faqs/undocumented-students/index.html
If you have questions regarding financial aid, please contact the Undergraduate Financial Aid Office at undergradaid@u.northwestern.edu</t>
  </si>
  <si>
    <t>northwestern</t>
  </si>
  <si>
    <t xml:space="preserve">The information you are looking for is available on our website (sites listed below).
Admissions &amp; Financial Aid Process: https://www.oberlin.edu/admissions-and-aid/arts-and-sciences/first-year-applicants#app-step-4
Student Life: https://www.oberlin.edu/mrc/student-resources/undocumented-daca-resources
</t>
  </si>
  <si>
    <t>Are undocumented students considered international or domestic? 
Domestic
Are you need-blind for undocumented students? 
We are not
Are there any restrictions on merit aid for undocumented students at your school? 
No restrictions
Does your school provide merit aid specially for undocumented students? 
We do not for a majority of these cases.
Would you advice an undocumented student to reveal their status in their application or subsequent email? 
They can definitely do so. It’s no problem.
How would their status affect their application?? No effect at all.
Is there a special contact point for undocumented students? 
No specific counselor.
What other piece of advice would you give an undocumented student hoping for admission at your school? 
Student is treated like everyone else. They just need to do their best!</t>
  </si>
  <si>
    <t>Are undocumented students eligible for need-based aid? 
Jose Peralta Dream Act for NY residents</t>
  </si>
  <si>
    <t>Are there organized groups or clubs comprised of or advocating for undocumented students in your school?
https://ww2.hunter.cuny.edu/students/student-life/clubs/
How often does your office receive applications from undocumented students?
Every year
Does your school provide confidential legal support to students with immigration law questions and issues?
https://ww2.hunter.cuny.edu/students/student-life/emergency-support-and-resources/emergency-funding/</t>
  </si>
  <si>
    <t>cuny</t>
  </si>
  <si>
    <t>For admission into our university, we do ask students to be honest on their application. Being undocumented or a DACA student will not affect a student's admission. Typically, students are first seen as international. If they complete and turn in certain paperwork showing they are a DACA student, we can then switch them to domestic and if they live in Indiana or our reciprocal counties, they can receive in state tuition. You can visit daca.iu.edu for more information about DACA @ IU.</t>
  </si>
  <si>
    <t>ius</t>
  </si>
  <si>
    <t>you can learn more about Bard's policies for undocumented applicants at our website here: (https://www.bard.edu/admission/daca-undocumented), and you can learn more about the Bard Sanctuary Fund here: (https://cce.bard.edu/community/sanctuary-fund).</t>
  </si>
  <si>
    <t>bard</t>
  </si>
  <si>
    <t xml:space="preserve">Undocumented students who reside in the US may complete the domestic admission requirements as applicable.
</t>
  </si>
  <si>
    <t>For financial aid consideration, for students who may not submit the FAFSA, students may complete the HU ISFAA for need and merit-based consideration. All consideration is done equitably. For more information, visit https://admission.howard.edu/financialsupport.</t>
  </si>
  <si>
    <t>To learn more about the university's support for dreamers, please see: https://www2.howard.edu/about/president/statements/defending-dreamers.</t>
  </si>
  <si>
    <t>howard</t>
  </si>
  <si>
    <t>Are undocumented students considered international or domestic?
International
Are you need-blind for undocumented students? 
Yes
Are there any restrictions on merit aid for undocumented students at your school? 
Merit aid is the funding provided for students based upon GPA. 
Does your school provide merit aid specially for undocumented students? 
yes
Would you advise an undocumented student to reveal their status in their application or subsequent email?
How would their status affect their application?? 
No effect - admitted based upon academic preparation
Is there a special contact point for undocumented students? 
No</t>
  </si>
  <si>
    <t>Are undocumented students eligible for need-based aid? 
No
If need-based aid is not available, is there a feasible path undocumented students can take to pay for their education with stackable merit scholarships, loans and/or grants from your school? 
Students who have a US co-signer on a loan would be eligible for loan in addition to merit scholarships. University of Lynchburg is private so the [average] cost after scholarship is $30,500 annually.</t>
  </si>
  <si>
    <t>Are there organized groups or clubs comprised of or advocating for undocumented students in your school?
Not specifically.
How often does your office receive applications from undocumented students? 
A few each year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No
Does your school provide confidential legal support to students with immigration law questions and issues?
No</t>
  </si>
  <si>
    <t>lynchburg</t>
  </si>
  <si>
    <t>https://www.niu.edu/undocumented/index.shtml</t>
  </si>
  <si>
    <t>niu</t>
  </si>
  <si>
    <t>Are undocumented students considered international or domestic?
Domestic. Undocumented students do not work with DSU International Student Services to apply.
Would you advice an undocumented student to reveal their status in their application or subsequent email?
We ask explicitly in the application and advise that students reveal their status while applying. They need to do so in order to receive the correct application checklist following application submission and for their application to avoid being put on hold in a review bin.
How would their status affect their application??
It ensures that they get the correct application checklist (same as for our domestic applicants) and ensures that they are not fraudulent in certifying that all of the information on their initial application is accurate.
Is there a special contact point for undocumented students?
No, undocumented students are treated the same as domestic applicants and work through the same contact email address: admissions@dixie.edu
What other piece of advice would you give an undocumented student hoping for admission at your school?
We are an open enrollment institution that does not have a GPA minimum required for admission. 
Undocumented students who have attended high school in Utah for at least 3 years may qualify for a tuition waiver to receive the equivalent of resident tuition under Utah State House Bill 144.</t>
  </si>
  <si>
    <t>dixie</t>
  </si>
  <si>
    <t>Are undocumented students considered international or domestic? 
Domestic
Are you need-blind for undocumented students? 
Yes
Are there any restrictions on merit aid for undocumented students at your school? 
No
Does your school provide merit aid specially for undocumented students? 
No
Would you advice an undocumented student to reveal their status in their application or subsequent email? 
Makes no difference in the admissions process
How would their status affect their application?? 
Makes no difference in the admissions process 
Is there a special contact point for undocumented students? 
No
What other piece of advice would you give an undocumented student hoping for admission at your school? 
Take the most rigorous high school courses you can and do well in those courses!</t>
  </si>
  <si>
    <t>Are undocumented students eligible for need-based aid? 
From institutional funds, yes.
What financial aid application should undocumented students send? The CSS, FAFSA, ISFAA or a form unique to your school? 
If eligible, the FAFSA…if not eligible to complete the FAFSA we can provide a unique institutional form.
If need-based aid is not available, is there a feasible path undocumented students can take to pay for their education with stackable merit scholarships, loans and/or grants from your school? 
Realistically, no - unless there is willingness to pay out of pocket for the remaining balance. Without eligibility for federal or state grants and federal loan funds, the path to having enough aid to cover is very steep.
What would be the requirements for such scholarships and what would a student's chances of getting them? 
Merit and/or financial need – over 90% of all students get something.</t>
  </si>
  <si>
    <t>Are there organized groups or clubs comprised of or advocating for undocumented students in your school?
We typically do not have any clubs like this, but students are free to attempt to start any club that they desire.</t>
  </si>
  <si>
    <t>methodist</t>
  </si>
  <si>
    <t>Undocumented and Deferred Action for Childhood Arrivals (DACA) students follow the procedures and requirements for first-year or transfer admission. They are evaluated in the same way as U.S. citizens and U.S. permanent residents. SAT I or ACT and SAT II scores are optional. Undocumented and DACA students should indicate “Non-citizen” or “Other” in the citizenship field on the Common Application. Because we want to obtain a comprehensive picture of the student’s background and experiences in the context of her school and community, we encourage undocumented and DACA applicants to disclose their citizenship status in the application. Undocumented and DACA students may apply under any admission plan, including Early Decision.</t>
  </si>
  <si>
    <t>Smith meets 100 percent of the demonstrated need of all admitted students who apply for financial aid by the published deadlines. Because federal financial aid is not available for undocumented and DACA students, Smith provides institutional, need-based financial aid in its place.</t>
  </si>
  <si>
    <t>Find more information regarding Smith's policies on undocumented students here: https://www.smith.edu/sites/default/files/media/Undocumented%20Students%20Handout.pdf</t>
  </si>
  <si>
    <t>smith</t>
  </si>
  <si>
    <t>This page is specifically meant for DACA and undocumented students at IUSB: https://daca.iu.edu/campus-resources/iusb.html. This page is for undocumented student at all IU schools https://ois.iu.edu/visas/daca-resources.html</t>
  </si>
  <si>
    <t>iusb</t>
  </si>
  <si>
    <t>Are undocumented students considered international or domestic? 
International students 
Are you need-blind for undocumented students? 
All international students must summit a Financial Affidavit of Support from their Bank that will cover 4 years or/ 8 semester at our University. 
Are there any restrictions on merit aid for undocumented students at your school? 
They cannot receive federal or state funds 
Does your school provide merit aid specially for undocumented students? 
NO 
Would you advice an undocumented student to reveal their status in their application or subsequent email? 
Always tell the truth always 
How would their status affect their application?? 
Very little 
Is there a special contact point for undocumented students ? 
The Office of Admissions is the contact point for all student's c/o Mr. Coley 
What other piece of advice would you give an undocumented student hoping for admission at your school? 
Apply</t>
  </si>
  <si>
    <t>Are undocumented students eligible for need-based aid? 
Not at this Point 
What financial aid application should undocumented students send?
The CSS, FAFSA, ISFAA or a form unique to your school? n/a
If need-based aid is not available, is there a feasible path undocumented students can take to pay for their education with stackable merit scholarships, loans and/or grants from your school?
See answer 3 under Admission Process</t>
  </si>
  <si>
    <t>Are there organized groups or clubs comprised of or advocating for undocumented students in your school? 
We support all our students! 
Does your school allow Immigration and Customs Enforcement (ICE) officers onto campus without a warrant?
n/a
Does the campus police enforce immigration law?
Our campus enforces the LAW
Does your school share student immigration status with ICE?
n/a
Does your school provide distance-learning options for deported students to complete their degrees? Yes , we have online classes
Does your school provide confidential legal support to students with immigration law questions and issues? 
n/a</t>
  </si>
  <si>
    <t>st-aug</t>
  </si>
  <si>
    <t>Undocumented students are considered domestic
We do not take a student's financial status into account during the admissions process
We do not restrict undocumented students from merit aid
No, we do not have aid specifically for undocumented students
Would you advice an undocumented student to reveal their status in their application or subsequent email?
We will eventually know through the application process as you will not be able to provide us with a SSN or visa.
Given that the admissions process does not take citizenship status into account, I do not have any special advice specific to undocumented students. If you have questions specific to you, we are happy to help.</t>
  </si>
  <si>
    <t>To my knowledge we do not have any clubs specifically for undocumented students. That said we have hundreds of clubs and we are constantly adding. We have a number of cultural and social clubs which may be of interest.
https://myinvolvement.org/
We do not provide distance-learning options for any student, unless they are enrolled in our online Informatics program.
Regarding your questions surrounding campus police and ICE, please see below:
“It is department policy that we will not allow ICE officials access to a student or their information without a judicial warrant. UPD officers do not enforce Federal Immigration Law as exercised by Federal Officials.”</t>
  </si>
  <si>
    <t>albany</t>
  </si>
  <si>
    <t>Are undocumented students considered international or domestic? 
For students living in the US, domestic.
Are you need-blind for undocumented students? 
No.
Are there any restrictions on merit aid for undocumented students at your school? 
No.
Does your school provide merit aid specially for undocumented students? 
All of our merit aid is open to our undocumented domestic students.
Would you advice an undocumented student to reveal their status in their application or subsequent email? 
In their application. It is an option in common app.
How would their status affect their application?? 
It does not affect their admissions decision.
What other piece of advice would you give an undocumented student hoping for admission at your school? 
Be in touch with our office to answer your questions during every step of the way.</t>
  </si>
  <si>
    <t>Are undocumented students eligible for need-based aid? 
Yes.
What financial aid application should undocumented students send? The CSS, FAFSA, ISFAA or a form unique to your school? 
Use the one unique to the state of Colorado, the CASFA.</t>
  </si>
  <si>
    <t>Are there organized groups or clubs comprised of or advocating for undocumented students in your school? 
Yes, UndocUnited is our student clubb.
How often does your office receive applications from undocumented students? Admissions applications? 
Every year.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Potentially.
Does your school provide confidential legal support to students with immigration law questions and issues? 
Yes.</t>
  </si>
  <si>
    <t>Priscilla Gardea. Priscilla.Gardea@colostate.edu</t>
  </si>
  <si>
    <t>colostate</t>
  </si>
  <si>
    <t>Are undocumented students considered international or domestic?
Undocumented students go through the domestic admission process.
An affidavit is required (not for admission) to ensure that undocumented students are assessed the domestic tuition rate. This form can be accessed at www.siue.edu/undocumented. Students are encouraged to submit this completed form with their admission documents. SIUE offers in-state tuition to all domestic undergraduate students including undocumented students. The tuition rate assessed for the first semester is locked in for four years. Fees also include basic textbooks as SIUE offers a textbook rental system. Cost of attendance is available at www.siue.edu/payingforcollege.
Are you need-blind for undocumented students?
All admission decisions for domestic students including undocumented are based solely on academic criteria (i.e. cumulative GPA). No finances are requested, reviewed, or considered.
Are there any restrictions on merit aid for undocumented students at your school?
Undocumented students can be considered for all merit based awards offered by Undergraduate Admissions. Visit www.siue.edu/scholarships for more specific information on scholarships.
Scholarships currently are available for fall entry only. December 1 is the priority deadline for freshmen and March 1 for transfer students.
Does your school provide merit aid specially for undocumented students?
No, but undocumented students can be considered for all merit based awards offered by Undergraduate Admissions.
Would you advice an undocumented student to reveal their status in their application or subsequent email?
Students must answer on the admission application whether they are a U.S. citizen. We do recommend specifying undocumented as that helps us know what additional items (if any) are required. For example, students that are permanent residents must provide a copy of their permanent residency card for admission. This would not apply to undocumented students, so communicating the student’s status will ensure we do not add this as a required item to their admission checklist.
How would their status affect their application?
Undocumented students go through the same admission process as domestic students. The only additional item that needs to be submitted is the affidavit as described above. This simply is to ensure they receive the domestic tuition rate and this can be received post admission, but we recommend submitting it with admission documents.
Is there a special contact point for undocumented students?
Our entire team serves undocumented students, so I encourage visiting our website at www.siue.edu/undergraduate/counselor/index.shtml to determine the admission counselor for the student’s school as that is the individual that they will work closely with through the enrollment process. Direct contact information for all team members is included on our website.
What other piece of advice would you give an undocumented student hoping for admission at your school?
Reach out to us early and often with any questions that you have. We are here for you and more than happy to help in any way possible. We are part of your support system!
Our admission application for fall launches June 1 (i.e. June 1, 2021 for fall 2022), so this gives you the summer prior to your senior year to apply. For transfer students, the application goes live one year prior to the start of the semester. Apply early to ensure scholarship consideration. Our application is available online at www.siue.edu/apply.
Utilize our website designed especially for undocumented students at www.siue.edu/undocumented as this is a great resource.</t>
  </si>
  <si>
    <t>Are undocumented students eligible for need-based aid?
Students living in Illinois can complete the Alternative Application for Illinois Financial Aid. This allows undocumented students to be reviewed for the Illinois Monetary Award Program (MAP) grant. Visit www.siue.edu/undocumented (bottom of the page).
What financial aid application should undocumented students send? The CSS, FAFSA, ISFAA or a form unique to your school?
The form noted above is what students must submit if they reside in Illinois.
If need-based aid is not available, is there a feasible path undocumented students can take to pay for their education with stackable merit scholarships, loans and/or grants from your school?
As noted in the Admissions section, undocumented students can be considered for all merit based awards offered by Undergraduate Admissions. More details are available at www.siue.edu/scholarships. At the bottom of this website, there are resources that can be utilized to find additional internal and external awards.
What would be the requirements for such scholarships and what would a student's chances of getting them?
The website (www.siue.edu/scholarships) is the best resource to reference in case any requirements change from year to year. If students meet the criteria for the Cougar Pride and Johnetta Haley Scholarships, this will be awarded at the time of admission. The Meridian Scholarship (freshmen only) is very competitive and requires a holistic review. For fall 2021, we had close to 1,200 applicants for this award. 210 were invited to interview and 20 scholarships were awarded.</t>
  </si>
  <si>
    <t>Are there organized groups or clubs comprised of or advocating for undocumented students in your school?
The Center for Student Diversity and Inclusion (CSDI) is a key resource on our campus and serves as a tremendous advocate for students. CSDI offers a variety of events and programming throughout the academic year. More information can be found on their website at www.siue.edu/csdi/. 
How often does your office receive applications from undocumented students?
We received applications for undocumented students every year.
Does your school allow Immigration and Customs Enforcement (ICE) officers onto campus without a warrant?
ICE officers are allowed on campus, but we would need a valid warrant to provide any information.
Does the campus police enforce immigration law?
No. Campus Police serve to provide a safe community for all individuals on campus.
Does your school share student immigration status with ICE?
SIUE provides SEVP, through SEVIS, with updated information on students with an F or J visa.
Does your school provide distance-learning options for deported students to complete their degrees?
SIUE offers online degree completion programs for any student that meets the admission requirements. This is a new initiative and only four programs are offered in this format at this time. However, we hope to grow to include additional programs. Details on online degree completion is available at www.siue.edu/academics/bachelors-degree-completion/.
Does your school provide confidential legal support to students with immigration law questions and issues?
No. We would recommend an external resource.
Does your school provide distance-learning options for deported students to complete their degrees?
SIUE offers online degree completion programs for any student that meets the admission requirements. This is a new initiative and only four programs are offered in this format at this time. However, we hope to grow to include additional programs. Details on online degree completion is available at www.siue.edu/academics/bachelors-degree-completion/.
Does your school provide confidential legal support to students with immigration law questions and issues?</t>
  </si>
  <si>
    <t>siue</t>
  </si>
  <si>
    <t>Are undocumented students considered international or domestic? 
Undocumented students are considered domestic students, not international, if they will graduate from a US secondary (high school) institution.
Are you need-blind for undocumented students? 
As with our general applicant pool, we are not need-blind for undocumented students.
Are there any restrictions on merit aid for undocumented students at your school? 
The college will consider merit aid as part of our wholistic review process, as we do for ALL applicants to CC. 
Does your school provide merit aid specially for undocumented students? 
Financial Aid to fully meet 100% of demonstrated need for undocumented students are pulled from special funds, which include grants and merit aid special for undocumented students. 
Would you advice an undocumented student to reveal their status in their application or subsequent email? 
We want students to feel comfortable disclosing their status to us, so that we can provide the necessary resources to apply for financial aid, skip any unnecessary steps in the financial aid process and admission process. 
How would their status affect their application??
Citizenship status would have no bearing on their application/candidacy to Colorado College. 
What other piece of advice would you give an undocumented student hoping for admission at your school? 
Apply with confidence to Colorado College, and now we are affirmative for undocumented students! We are committed to serving all students in the application process, regardless of citizenship status.</t>
  </si>
  <si>
    <t>Are undocumented students eligible for need-based aid? Yes, undocumented students are eligible to apply for financial aid. You can find the list of forms on the Financial Aid website: https://www.coloradocollege.edu/admission/financialaid/international-undocumented-/inde@x.html 
Please contact the Office of Financial Aid for any additional financial related questions:
Phone: (719) 389-6651
Toll-free: (800) 260-6458
Email:financialaid@coloradocollege.edu</t>
  </si>
  <si>
    <t>How often does your office receive applications from undocumented students? 
Often. Each year we received dozens of applications from undocumented students to Colorado College.
Does your school allow Immigration and Customs Enforcement (ICE) officers onto campus without a warrant? 
No. 
There are multiple student life offices across campus that have resources for undocumented and DACA students:
-Career Center: https://www.coloradocollege.edu/offices/careercenter/begin-your-search/resources-for-undocumented-and-daca-students.html
-The Butler Center: https://www.coloradocollege.edu/offices/butlercenter/education-resources/index.html 
The Global Education and Field Study (https://www.coloradocollege.edu/offices/globalandfieldstudy/international-students/index.html) office supports international students (immigration law questions, campus support and resources, etc.). You can contact their office directly at: isss@coloradocollege.edu</t>
  </si>
  <si>
    <t>Pedro Ramirez, Associated Director of Outreach &amp; Access | pramirez@coloradocollege.edu | 719-389-6944</t>
  </si>
  <si>
    <t>coloradocollege</t>
  </si>
  <si>
    <t>First off, all residents of any state that borders Kentucky actually receive in-state tuition here at WKU through the Border State Scholarship. You can learn more at www.wku.edu/border. This is guaranteed to any student accepted to WKU regardless of documentation status.
Undocumented students apply as domestic students at WKU. We will never share their information with ICE or any immigration officials and they are not allowed on campus without a warrant. Students should answer directly on the application that they are undocumented, however it will not affect their application process at all. As long as an undocumented students meets our admission requirements they will be admitted to WKU. Students are admitted to WKU with at least a 2.5 unweighted GPA (no ACT is required for admission). If the student is between a 2.0-2.49 unweighted GPA they can be admitted but at that point their ACT score would determine their admission eligibility.
Undocumented students are eligible for our merit scholarships here at WKU. You can view a list of our merit opportunities at https://www.wku.edu/financialaid/scholarships/freshmen-2122-academicyear.php. There are no applications for the scholarships on that page (except the Cherry Presidential) and they will be applied to the students account automatically as long as they meet the minimum requirements for the awards. They are renewable and stackable. We also have a minority scholarship called the Cornelius A Martin Award that the majority of undocumented students that I work with receive. Any other questions regarding financial aid at WKU should be directed to their office at fa.help@wku.edu.
I work with undocumented quite regularly and many of those students choose to enroll at WKU for our campus community. We are a mid-sized institution that prides itself on the strong relationships between our faculty and students. They truly go above and beyond to help our students succeed, and as an institution we provide every resource possible to ensure that our students achieve their academic, career, and personal goals. WKU is located in Bowling Green which was voted the best city to live in Kentucky as well as a top college town in America. WKU is proud of our diverse student body, and our Intercultural Student Engagement Center works directly with any underrepresented student to provide them with additional academic, social, and professional support. You can learn more about their programs and initiatives at https://www.wku.edu/isec/.</t>
  </si>
  <si>
    <t>wku</t>
  </si>
  <si>
    <t>Information for DACA/undocumented applicants can be found here on the Office of Admission website
https://www.wesleyan.edu/admission/apply/undocdaca.html
Additionally, you can find information regarding financial aid for undocumented students here:
https://www.wesleyan.edu/finaid/applyingforaid/prospectiveapplicants/firsttimestudent-daca_undoc.html
For the questions regarding student life, you will need to reach out to Student Affairs directly. Their website can be found here:
https://www.wesleyan.edu/studentaffairs/</t>
  </si>
  <si>
    <t>wesleyan</t>
  </si>
  <si>
    <t>Undocumented students apply as domestic students. Please see the following link for more information on admissions: 
https://www.uh.edu/caps/resources/undocumented-students/daca-information/index 
Please visit the following links for more information:
CougarSAFE: https://uh.edu/cougarsafe/
Senate Bill 4 Information: https://www.uh.edu/caps/resources/senate-bill-4/
Distance Learning Information: https://uh.edu/online/students/student-types.php</t>
  </si>
  <si>
    <t>uh</t>
  </si>
  <si>
    <t>At this time, College of Charleston is unable to enroll or accept applications from undocumented students due to our status as a South Carolina public university: https://admissions.cofc.edu/enroll/lawful-presence/index.php</t>
  </si>
  <si>
    <t>cofc</t>
  </si>
  <si>
    <t>Are undocumented students considered international or domestic?
Undocumented students are considered international in our admission/financial aid process
Are you need-blind for undocumented students?
We are need-aware when reviewing international applicants, but if admitted, we meet full demonstrated need
Are there any restrictions on merit aid for undocumented students at your school?
No, there are no restrictions
Does your school provide merit aid specially for undocumented students?
All of our applicants are eligible for merit aid, but we don't have merit programs specifically for undocumented students
Would you advice an undocumented student to reveal their status in their application or subsequent email?
Yes, I would encourage disclosure of undocumented status on the application, or in a separate email. We keep all applicant information private.
How would their status affect their application??
It would not change how we review the application. 
What other piece of advice would you give an undocumented student hoping for admission at your school?
I would suggest all interested applicants engage with our office by attending events, either in person or virtual, and to complete an admission interview (virtual is available).</t>
  </si>
  <si>
    <t>Are undocumented students eligible for need-based aid?
Yes
What financial aid application should undocumented students send? The CSS, FAFSA, ISFAA or a form unique to your school?
We have our own unique form, which is the Denison COF: https://connect.denison.edu/checklist/cof.pdf
If need-based aid is not available, is there a feasible path undocumented students can take to pay for their education with stackable merit scholarships, loans and/or grants from your school?
In addition to need-based aid, we also offer scholarships and work-study to undocumented students, and we meet the full demonstrated need of every student we admit. Unfortunately we do not offer institutional loans to non-US citizens.</t>
  </si>
  <si>
    <t>Are there organized groups or clubs comprised of or advocating for undocumented students in your school?
Yes there are groups that advocate for undocumented students and immigrants generally speaking. You can see a recent example here: https://denisonian.com/2021/03/features/denison-students-introduce-new-organization-immigrants-without-borders/
How often does your office receive applications from undocumented students?
We receive applications for undocumented students every admission cycle.
Does your school allow Immigration and Customs Enforcement (ICE) officers onto campus without a warrant?
No
Does the campus police enforce immigration law?
No
Does your school share student immigration status with ICE?
No
Does your school provide distance-learning options for deported students to complete their degrees?
No, unfortunately we do not offer distance learning, all of our instruction is on campus. Keep in mind we're a small, residential campus. We're just not set up to support remote learning (outside of the pandemic, that is).
Does your school provide confidential legal support to students with immigration law questions and issues?
Yes, we have services here that students can use, including access to immigration attorneys</t>
  </si>
  <si>
    <t>denison</t>
  </si>
  <si>
    <t>Are undocumented students eligible for need-based aid?
Undocumented (https://admissions.dartmouth.edu/glossary-term/undocumented-students) and DACA students receive Dartmouth’s need-based financial aid (https://admissions.dartmouth.edu/glossary-term/need-based-financial-aid) in the same way that U.S. citizens or permanent residents do. We will meet 100% of your demonstrated need (https://admissions.dartmouth.edu/glossary-term/demonstrated-financial-need), using Dartmouth's financial aid.
Please visit our website, by clicking here (https://admissions.dartmouth.edu/afford/apply-financial-aid#filter-1571), for more information regarding how to apply for aid as an undocumented applicant.
What financial aid application should undocumented students send? The CSS, FAFSA, ISFAA or a form unique to your school?
Undocumented students should complete and submit the CSS Profile and IDOC. Because federal funds (https://admissions.dartmouth.edu/glossary-term/federal-financial-aid) are not available to undocumented students, you will not fill out the FAFSA. More information can be found here (https://admissions.dartmouth.edu/afford/apply-financial-aid#filter-1571).
If need-based aid is not available, is there a feasible path undocumented students can take to pay for their education with stackable merit scholarships, loans and/or grants from your school?
Financial Aid funds may include need-based financial aid (https://admissions.dartmouth.edu/glossary-term/need-based-financial-aid), campus employment, and if appropriate, a loan.
You will find many answers to your questions right on our website. A few of our pages you may find particularly helpful are the following:
Undocumented students: https://admissions.dartmouth.edu/glossary-term/undocumented-students
Apply for financial aid: https://admissions.dartmouth.edu/afford/apply-financial-aid#filter-1571
Types of Aid: https://admissions.dartmouth.edu/afford/types-financial-aid
How Aid Works: https://admissions.dartmouth.edu/afford/how-aid-works</t>
  </si>
  <si>
    <t>dartmouth</t>
  </si>
  <si>
    <t>Are undocumented students considered international or domestic?
Since we are private and do not have in-state/out of state tuition students are not required to provide proof of residency. An undocumented student is treated as any other applicant, but may still be required to complete some international student application requirements, such as proof of funding.
Are you need-blind for undocumented students? 
We do review applications need-blind, but we may require admitted international and undocumented students to provide proof of funding for the first year.
Are there any restrictions on merit aid for undocumented students at your school? 
All students, including international students, undocumented students, and those who choose not to disclose their immigration status, are eligible for merit based aid. The highest merit scholarship amount is $22,500/year.
Does your school provide merit aid specially for undocumented students? 
We do not have any specific scholarships for undocumented students. Those students are eligible for the same merit-based aid as other students.
Would you advice an undocumented student to reveal their status in their application or subsequent email? 
We encourage students to do whatever they are most comfortable with.</t>
  </si>
  <si>
    <t>Are undocumented students eligible for need-based aid? 
No, we do not have need-based aid for undocumented students, but we do offer merit aid.
What financial aid application should undocumented students send? 
The CSS, FAFSA, ISFAA or a form unique to your school? Students should submit the FAFSA, and will also need to complete a Declaration and Certification of Finances form specific to Ursuline.
If need-based aid is not available, is there a feasible path undocumented students can take to pay for their education with stackable merit scholarships, loans and/or grants from your school? 
Ursuline only offers merit-based aid for international and undocumented students and does not offer full-tuition scholarships to any students, including domestic students. We encourage international students and undocumented students to seek out third-party scholarships and grants, which they can stack with Ursuline offered aid.
What would be the requirements for such scholarships and what would a student's chances of getting them? 
Students can see our scholarship grid for domestic undergraduate students here and for international students here.</t>
  </si>
  <si>
    <t>Are there organized groups or clubs comprised of or advocating for undocumented students in your school? 
We don’t currently have any organized groups like this on campus.
How often does your office receive applications from undocumented students? 
We do not track that information. Since we are private and do not have in-state/out of state tuition students are not required to provide proof of residency. An undocumented student is treated as any other applicant.</t>
  </si>
  <si>
    <t>There is no designated contact point for undocumented students, but the student’s Admission Counselor would be able to connect them to any resources they may need. If they do disclose their status as an undocumented student, they could also be in touch with Veronica Colborn, who works with International Students, at veronica.colborn@ursuline.edu.</t>
  </si>
  <si>
    <t>I would recommend connecting with an admission counselor and setting up a virtual appointment or a phone call to discuss. This way all your questions can be addressed either on a zoom or phone call. Undocumented students are considered international applicants at the University of Denver, but the admission counselor is determined by where a student’s high school is located. I have also included links below that may be beneficial to you:
&lt;a href=”https://www.du.edu/admission-aid/undergraduate/visit”&gt;Virtual Visit – Chat with an Admission Counselor&lt;/a&gt; – this is where you can determine the admission counselor. We do a lot of our undocumented student information over the phone for privacy purposes.
&lt;a href=” https://www.du.edu/admission-aid/undergraduate/undocumented-students”&gt;Undergraduate Admission - Undocumented Students&lt;/a&gt;
&lt;a href=” https://www.du.edu/admission-aid/undergraduate/undocumented-students”&gt;Undocumented Student Financial Aid&lt;/a&gt;</t>
  </si>
  <si>
    <t>du</t>
  </si>
  <si>
    <t>A lot of your questions can be answered through the links below:
https://www.undocumented.wsu.edu
https://admission.wsu.edu/apply/undocumented-students/
https://financialaid.wsu.edu/wasfa/ 
On the very first link, I would try to connect with someone listed in that office. Every student is evaluated independently as it pertains to our admission requirements. The best thing to do is to work with their assigned admissions counselor that can be found at https://www.rep.wsu.edu to assist the student in the process. Every department has their respective processes and resources to assist students that need assistance in the process of enrolling.</t>
  </si>
  <si>
    <t>wsu</t>
  </si>
  <si>
    <t>International students do not qualify for financial aid.
International students could contact the International office on campus to see if they qualify for a waiver. 
715-232-2132.</t>
  </si>
  <si>
    <t>uwstout</t>
  </si>
  <si>
    <t>This page has information on policies and protection: https://www.pugetsound.edu/student-life/resources-for-undocumented-persons/.
And this webpage has information on admission and financial aid: https://www.pugetsound.edu/admission/policies-on-undocumented-students/.</t>
  </si>
  <si>
    <t>pugetsound</t>
  </si>
  <si>
    <t>Are undocumented students considered international or domestic?
Students who are undocumented will be considered as international students but the review process both domestic and international student is holistic and a students citizenship status will never be used as a measure of a students "worthiness" of admission.
Are you need-blind for undocumented students?
We are need-aware for all applicants but we are an institution that is committed to meeting 100% of demonstrated financial need for every student, including our undocumented students. Being need aware does not prevent us from making offers of admission to students who we feel would be great contributors to our community. 
Does your school provide merit aid specially for undocumented students?
Yes, Undocumented students are eligible for our Academic Divisional Scholarships as well as our Signature Scholarships. We do not have a specific scholarship exclusively for undocumented students.
Would you advice an undocumented student to reveal their status in their application or subsequent email?
Students are free to disclose their status in a way that is comfortable for them. We care and respect their privacy and will never do anything to jeopardize a student in any way. Please refer to our policies toward undocumented students. 
Is there a special contact point for undocumented students?
WashU students have an assigned admissions officer who is their point of contact and we value getting to know students name and story. A students admissions officer is their point of contact and will be their advocate in the committee review process.
What other piece of advice would you give an undocumented student hoping for admission at your school?
I would share that students should feel comfortable sharing a bit of themselves with us. We take tremendous pride in the stories student share with us and build our class one student at a time. While we know that we cant admit every applicant, we appreciate the diversity that every story has as we build our community. The story telling aspect of the application process can look many different ways and we want students to know that their story is theirs to share and we value the time and effort they put into the process.</t>
  </si>
  <si>
    <t>Are undocumented students eligible for need-based aid?
Undocumented students are eligible for need-based aid and can complete the CSS Profile (waivers are available if cost is a prohibitive). 
What financial aid application should undocumented students send? The CSS, FAFSA, ISFAA or a form unique to your school?
To be considered for aid, students will need to apply using the CSS Profile which will help us get a sense of their family's financial circumstances.
If need-based aid is not available, is there a feasible path undocumented students can take to pay for their education with stackable merit scholarships, loans and/or grants from your school?
Students are able to stack their outside scholarships up to the cost of attendance at at WashU. 
What would be the requirements for such scholarships and what would a student's chances of getting them?
Students are automatically considered for our academic scholarships at the time they submit their application for admission (based on the academic division that they select). Students can also apply for our three signature scholarships once a student has submitted their application for admission and received access to their WashU pathway (system that allows students to track their application status).</t>
  </si>
  <si>
    <t>Are there organized groups or clubs comprised of or advocating for undocumented students in your school?
With more than 400+ student clubs and organizations for students to participate in, there may be a club that exists but students are able to create their own clubs and organizations for students to join. 
How often does your office receive applications from undocumented students?
We receive applications from students who are undocumented every application cycle. 
Does your school allow Immigration and Customs Enforcement (ICE) officers onto campus without a warrant?
No, WashU does not allow Immigration and Customs Enforcement (ICE) officers on to campus without a warrant. 
Does the campus police enforce immigration law?
The primary role and responsibility of the Washington University Police Department (WUPD) is to maintain a safe learning environment. WUPD officers are visible, accessible and dedicated to their primary goal: making sure that every member of our community and our visitors feel safe on and around our campuses. As a matter of course, WUPD officers do not inquire about immigration status in carrying out their day-to-day responsibilities. they only will do so if related to criminal violations or threats of violent behavior. Further, WUPD does not detain individuals solely because of their immigration status. It is neither the university’s practice nor expectation that WUPD will function as an agent of the federal government in the enforcement of federal immigration laws. WUPD will of course comply with lawful subpoenas or other legal requirements.
Does your school share student immigration status with ICE?
The university will zealously protect the privacy of confidential student information and will adhere to the privacy protections granted to our students by federal law. The university will not release information about immigration or citizenship status to third parties unless required by court order or other legal requirement.
Does your school provide distance-learning options for deported students to complete their degrees?
The COVID-19 crisis has greatly improved the University's ability to provide various instruction modes to students, including virtual. I am not sure what our current policies are but I do know that we have several resources that may provide deeper insight into our policies: Center for Diversity &amp; Inclusion (314-935-7535) the Office for International Students and Scholars, (314-935-5910), and the Office of Scholar Programs (contact Julia Macias or call 314-935-8379).
Does your school provide confidential legal support to students with immigration law questions and issues?
Through the Office of International Students and Scholars (OISS), the university will provide information and referral resources for undocumented students needing legal assistance.</t>
  </si>
  <si>
    <t>wustl</t>
  </si>
  <si>
    <t>Are undocumented students considered international or domestic? 
Domestic students
Are you need-blind for undocumented students? 
Yes, we are need blind for all students. We highly encourage financial aid counseling appointments to inform students and families of the financial responsibilities, and to help them apply for scholarships &amp; aid.
Does your school provide merit aid specially for undocumented students? 
UWest offers 2 scholarships for undocumented students, &lt;a href="Dream_Scholarship_Policy_2122.pdf"&gt;the Dream Scholarship&lt;/a&gt; &amp; &lt;a href="resources/AJ_Wang_Scholarship.pdf"&gt;the AJ Wang Scholarship&lt;/a&gt;– scholarships can also be combined.
Would you advise an undocumented student to reveal their status in their application or subsequent email? 
No but financial aid or enrollment will reach out for financial aid &amp; scholarship opportunities.
How would their status affect their application?A student’s undocumented status would not affect their application. UWest review all applications as a holistic application, as long as academic requirements are met the application will be reviewed by the Admission committee.
What other piece of advice would you give an undocumented student hoping for admission at your school?
We are a small school of about 300 students, and our population consists of 50% International students. We aid every single to student from the moment they apply all the way through graduation. We encourage undocumented student to keep pursuing your goals, to look for a school that best fits your needs &amp; continue to achieve your goals.</t>
  </si>
  <si>
    <t>Are undocumented students eligible for need-based aid? UWest offers 2 scholarships for undocumented students, the Dream Scholarship &amp; the AJ Wang Scholarship– scholarships can also be combined.
What financial aid application should undocumented students send? The CSS, FAFSA, ISFAA or a form unique to your school? Please see requirements attached
If need-based aid is not available, is there a feasible path undocumented students can take to pay for their education with stackable merit scholarships, loans and/or grants from your school? We encourage student to apply for the Dream Scholarship and the AJ scholarship. If more aid is needed the final options are external loans and private banks.
What would be the requirements for such scholarships and what would a student's chances of getting them? The scholarships are awarded on a first come first serve basis. We currently have undocumented students who were given scholarships during their entire time at UWest, and many are graduating this May 2021.</t>
  </si>
  <si>
    <t>Are there organized groups or clubs comprised of or advocating for undocumented students in your school? UWest has several clubs on campus that amplify student voices, with the principle purpose of belonging &amp; community. Undocumented students are welcome to join any club, and if anyone cannot find a club of their interest we encourage student to create their own club.
How often does your office receive applications from undocumented students? There are a handful of applicants every semester
Does your school allow Immigration and Customs Enforcement (ICE) officers onto campus without a warrant? No. Everyone checks in at the front desk and ICE will be turned away without a warrant.
Does the campus police enforce immigration law? No
Does your school share student immigration status with ICE? No
Does your school provide distance-learning options for deported students to complete their degrees? This is a case by case situation. Due to COVID we have been able to expand our classes to hybrid teaching. If this situation arises the student or responsible party would have to contact Student Services Director: Vanessa R. Karam- Tel: (626) 571- 8811- Email: vanessak@UWEST.EDU
Does your school provide confidential legal support to students with immigration law questions and issues? UWest defers to Student Services Director: Vanessa R. Karam &lt;p&gt;&lt;a href="tel:(626) 571- 8811"&gt;&lt;strong&gt;Call&lt;/strong&gt;&lt;/a&gt;&lt;p&gt;&lt;a href="mailto:vanessak@UWEST.EDU"&gt;&lt;strong&gt;Email&lt;/strong&gt;&lt;/a&gt;
Otherwise we can provide resources for outside immigration law questions and issues.</t>
  </si>
  <si>
    <t>Undocumented students can reach out to: &lt;p&gt;Student Services Director: Vanessa R. Karam&lt;p&gt;&lt;a href="tel:(626) 571- 8811"&gt;&lt;b&gt;Call&lt;/b&gt;&lt;/a&gt;&lt;p&gt;&lt;a href="mailto:vanessak@UWEST.EDU"&gt;&lt;b&gt;Email&lt;/b&gt;&lt;/a&gt;&lt;p&gt;Student Affairs Committee:&lt;p&gt;&lt;a href="mailto: student_affairs@UWEST.EDU"&gt;&lt;b&gt;Email&lt;/b&gt;&lt;/a&gt;</t>
  </si>
  <si>
    <t>uwest</t>
  </si>
  <si>
    <t>James Madison University operates under SCHEV guidelines. Please see the following link:
https://schev.edu/index/tuition-aid/in-state-residency</t>
  </si>
  <si>
    <t>jmu</t>
  </si>
  <si>
    <t>Please visit our Undocumented Students page: https://admissions.dartmouth.edu/glossary-term/undocumented-students.
We do not offer merit aid we only offer need-based aid, which isn't impacted by status. We do not have a point person for undocumented students, but any admissions officer should be able to answer your questions. The choice to reveal your status is completely yours. CoFIRED (dartmouth.cofired@dartmouth.edu) is a student organization that advocates for undocumented students and more humane immigration policies. They're a great resource for you as you begin to ask those more specific questions about student life as an undocumented student.</t>
  </si>
  <si>
    <t>Undocumented students can certainly apply for admission and you will submit the regular application requirements. Meaning you will need to submit, application form, official transcripts, essay, letter of recommendation, and any necessary test results. You can also find some information on undocumented students admission on our website by https://www.umb.edu/life_on_campus/multiculturalaffairs/isp/undocumentedsupport.
If you want to apply, please visit https://admissions.umb.edu/apply. You will need to submit your application form, essay, letter of recommendation, and official transcripts. We do allow students to apply with or without SAT results. As you move through the application process, please let us know if we can be of further assistance. We can be reached at 617-287-6100 or by scheduling an appointment virtually https://admissions.umb.edu/freshman-students/events.
In regard to financial aid. Unfortunately, we cannot offer in-state tuition and you would not be eligible for federal financial aid funding. However, there may be other forms of merit-based aid that you would be eligible for, so we encourage you to also work with our Financial Aid Office if you have questions about available merit-based aid: finaid@umb.edu.</t>
  </si>
  <si>
    <t>umb</t>
  </si>
  <si>
    <t>Unfortunately, South Carolina is one of the few states that do not allow undocumented students to attend public institutions of higher education in the state.</t>
  </si>
  <si>
    <t>sc</t>
  </si>
  <si>
    <t>Are undocumented students considered international or domestic?
Because undocumented students do not hold US citizenship or permanent residency, they are technically considered international applicants at Syracuse. We will manually waive the financial documentation, however, as undocumented students are not required to submit this for the purposes of obtaining an F1 visa. In most cases we waive the English proficiency requirement, but this is not automatic (it depends on how long students have been in the US and studying in English).
Are you need-blind for undocumented students?
We have a limited amount of institutional funding available for undocumented students (as they are not able to apply for federal need-based financial aid). We typically admit a small number of undocumented students per year, then ask them to complete the CSS Profile so that we can assist them with this institutional funding.
Are there any restrictions on merit aid for undocumented students at your school?
See above – we don’t offer scholarships per se, rather institutional funding to assist accepted undocumented students in attending Syracuse University.
Does your school provide merit aid specially for undocumented students?
Would you advice an undocumented student to reveal their status in their application or subsequent email?
Yes, you should disclose your status in your application. It will help us to understand what documentation you need to submit (and don’t need to submit), and will allow our team to advise you throughout the admissions process.
Is there a special contact point for undocumented students?
You are welcome to work with any member of our international admissions team! Jennifer Mathews is the Director of International Admissions (jmmathew@syr.edu). She is out of the office right now but again, you are welcome to connect with anyone on our team for further assistance.
What other piece of advice would you give an undocumented student hoping for admission at your school?
Please be sure to visit https://diversity.syr.edu/resources/dacaundocumented-students/ for comprehensive resources for undocumented students at Syracuse.</t>
  </si>
  <si>
    <t>As noted above, undocumented students are eligible for institutional financial aid, but are not able to file the FAFSA to be considered for federal financial aid. We ask accepted undocumented students to complete the CSS profile (as it is available to non-US citizens) to determine how much institutional aid is appropriate. You wouldn’t need to submit any financial documentation at the time of application (see above – accepted students are asked to complete the CSS Profile).</t>
  </si>
  <si>
    <t>Again, I would refer you to https://diversity.syr.edu/resources/dacaundocumented-students/ for a comprehensive look at all of the services available to undocumented students at Syracuse. I can tell you that we have a relatively small number of undocumented students on campus, along with a larger number of students who are from mixed-status families. I am not the best person to answer some of these questions on this topic, but I will be happy to forward your email to some of my colleagues who will be better able to assist you.</t>
  </si>
  <si>
    <t>syr</t>
  </si>
  <si>
    <t xml:space="preserve">Are undocumented students considered international or domestic?
Undocumented students are considered domestic, but can be considered as either a resident or non resident for tuition purposes. After applying, an admissions counselor will reach out asking for the necessary documents to determine if the student qualifies for in-state or out-of-state tuition.
Are you need-blind for undocumented students?
We do not take financial need into consideration when reviewing applicants. Admissions decisions are based on academic achievement only. 
Are there any restrictions on merit aid for undocumented students at your school?
There are no restrictions preventing undocumented students from receiving aid.
Does your school provide merit aid specially for undocumented students?
Through the Admissions office, there are no scholarships available only to undocumented students. Since most undocumented students will be considered non-resident, they are eligible to receive our merit based Non-Resident Scholarships. Details on these scholarships can be found on the PDF attached below. 
Would you advice an undocumented student to reveal their status in their application or subsequent email?
One of the questions the application asks is about your Citizenship status. Disclose here that the student is undocumented. 
How would their status affect their application?
Having an undocumented status does not negatively affect your application. You will not be denied simply because you are undocumented. Your status will only affect your residency for tuition purposes. 
</t>
  </si>
  <si>
    <t>Anne Stinson &lt;a href="mailto:StinsonA@uww.edu"&gt;&lt;strong&gt;Email&lt;/strong&gt;&lt;/a&gt; or &lt;a href="tel:(262) 472-1973"&gt;&lt;strong&gt;Call&lt;/strong&gt;&lt;/a&gt;</t>
  </si>
  <si>
    <t>uww</t>
  </si>
  <si>
    <t>Are undocumented students considered international or domestic?
Undocumented students are considered international students, but there are scholarships for these students (it's not specific to undocumented students, but all international students)
Are you need-blind for undocumented students?
We are need blind and do not consider financial aid for admission into the university
Does your school provide merit aid specially for undocumented students?
The only aid available is merit, and it's one scholarship. however, you could apply to other scholarships like Honors
Would you advice an undocumented student to reveal their status in their application or subsequent email?
You can reveal your undocumented status and it will not affect anything
Is there a special contact point for undocumented students?
There is no specific contact for undocumented students, but you can contact me directly since I handle international students</t>
  </si>
  <si>
    <t>What financial aid application should undocumented students send? The CSS, FAFSA, ISFAA or a form unique to your school?
You wouldn't file a FAFSA unless you are a US citizen or resident alien. international students often have to get loans or pay out of pocket. no unique form
If need-based aid is not available, is there a feasible path undocumented students can take to pay for their education with stackable merit scholarships, loans and/or grants from your school? What would be the requirements for such scholarships and what would a student's chances of getting them?
Everyone is awarded a merit scholarship, but we do not award more than that</t>
  </si>
  <si>
    <t>Are there organized groups or clubs comprised of or advocating for undocumented students in your school?
We have student run clubs - MISO (Multicultural and International Student Organization) is one, they focus on various causes. It is student led.
How often does your office receive applications from undocumented students?
We don't track how many undocumented student applications
Does your school allow Immigration and Customs Enforcement (ICE) officers onto campus without a warrant?
ICE can come to campus anytime. It is not up to the college/university.
Does the campus police enforce immigration law?
The campus police question isn't applicable to ICE.
Does your school share student immigration status with ICE?
We use SEVIS and sharing immigration status hasn't happened.
Does your school provide distance-learning options for deported students to complete their degrees?
We are mostly an on-campus school. During COVID we offer more online learning, but that will likely go away in the future. We do have Adult Degree Program degrees which can be done fully online.
Does your school provide confidential legal support to students with immigration law questions and issues?
We do not offer legal services for students, and this hasn't happened, but we would likely refer students to legal counsel.</t>
  </si>
  <si>
    <t>setonhill</t>
  </si>
  <si>
    <t>MSU application types are based on citizenship or residency. If you are not a citizen or have a permanent resident card, you are considered international. Application instructions and requirements are posted on our website. Undocumented students who live in the U.S. can apply for a fee classification change if they qualify. The regulations are managed by MSUs' Office of the Registrar. It does not change their status as an interntional but it does allow for residency tuition fee classification if they qualify. Applicants should be directed to contact our office as each applicant is responsible to provide the required material.</t>
  </si>
  <si>
    <t>msu</t>
  </si>
  <si>
    <t>Are undocumented students considered international or domestic?
Undocumented students who have been living in New York, attended a New York high school for two years, graduated and applied to SUNY Old Westbury within five years of graduation from that New York State high school could be eligible for in-state tuition. They would be given a residency form, and the Residency Committee, would determine their in-state tuition eligibility.
Are you need-blind for undocumented students?
The decision to admit students for regular admissions and admission into the Honors College, etc. is the same, regardless of status. 
Are there any restrictions on merit aid for undocumented students at your school?
There are no restrictions when a student is awarded study abroad scholarships, residence hall scholarships, etc. Although we do not offer many merit- based scholarships, one's status does not factor into the decision. 
Does your school provide merit aid specially for undocumented students?
Scholarship awards vary from year to year. Specific scholarships have certain criteria and are sent, usually through email, to all students. If the student feels they are eligible, they should apply. 
Would you advise an undocumented student to reveal their status in their application or subsequent email?
A student only needs to reveal their status so we could determine tuition charges (in-state residency or not). 
How would their status affect their application?
Status does not affect a student's application, unless they are applying to programs that are for New York State residents and permanent residents of U.S. citizens. 
Is there a special contact point for undocumented students?
For admissions questions, you could contact anyone in our office. The requirements for regular admission are the same, regardless of a student's status.
What other piece of advice would you give an undocumented student hoping for admission at your school?
Our advice would be the same for all students wishing to gain admission to SUNY Old Westbury. Take the most challenging courses you could handle and do well in them. Your letters of recommendation should come from people who know you well. Your personal statement should give us insight into why you'd like to come to SUNY Old Westbury.</t>
  </si>
  <si>
    <t>For answers to questions about financial aid, the following could assist you:
www.fafsa.ed.gov
www.hesc.ny.gov
www.financialaid@oldwestbury.edu</t>
  </si>
  <si>
    <t>The answers to your questions for student life could be found here:
https://www.oldwestbury.edu/diversity-inclusion/FAQ</t>
  </si>
  <si>
    <t>oldwestbury</t>
  </si>
  <si>
    <t>Please refer to two links below that have documentation on our admissions policies
&lt;a href="https://admissions.uncc.edu/counselors/high-school-counselors/undocumented-students#:~:text=Undocumented%20students%20often%20learn%20more,applicants%20regardless%20of%20citizenship%20status"&gt;Admissions&lt;/a&gt;
&lt;a href="https://dso.uncc.edu/advocacy-support/daca-unc-charlotte"&gt;Dean of Students&lt;/a&gt;</t>
  </si>
  <si>
    <t>uncc</t>
  </si>
  <si>
    <t>On the link below you will be able to see our Undocumented admission website. It should answer all your questions about admissions. 
https://www.ou.edu/admissions/apply/undocumented</t>
  </si>
  <si>
    <t>For questions about Student Life, please contact Juan Cabrera:
https://www.ou.edu/studentlife/diverse_communities/latino_student_life</t>
  </si>
  <si>
    <t>ou</t>
  </si>
  <si>
    <t>It's wonderful to hear that you are helping undocumented students with college access. At the University of California we too hope to have undocumented students feel like they are able to ask for help, apply and enroll on our campuses. Many of your questions are answered on our webpage for UC - https://undoc.universityofcalifornia.edu/. 
In addition UCSB hosts application workshops and pre-recorded sessions for undocumented students - https://youtu.be/xfYEoUsQFJk. This page resides on our YouTube channel and is updated every summer prior to the application being posted. https://youtube.com/ucsb4me</t>
  </si>
  <si>
    <t>The financial aid page includes a link for "dream scholars" which is our term for UCSB undocumented students. https://www.finaid.ucsb.edu/dream-scholars. The process to apply for financial aid will depend on the undocumented student status we see from the UC application. California undocumented students who apply for AB 540 might have a California Dream Act application and financial aid awards. Undocumented students from outside of California might not see that same aid award. But we do have a link to our current student scholarships on the UCSB Dream Scholars resource page - http://www.sa.ucsb.edu/dreamscholars/home</t>
  </si>
  <si>
    <t>When students arrive at UCSB they have access to a full time staff member who is our Undocumented Student Services Coordinatro. Students can apply to be interns in this office too and be awarded stipends for their work. See the workshops, legal resources and more on the Undocumented Student Services page - http://www.sa.ucsb.edu/dreamscholars/home.</t>
  </si>
  <si>
    <t>ucsb</t>
  </si>
  <si>
    <t>https://admissions.uni.edu/dacamented-and-undocumented-students</t>
  </si>
  <si>
    <t>uni</t>
  </si>
  <si>
    <t>Here are some links that should be helpful in answering some of your questions:
https://www.higheredimmigrationportal.org/
https://immigrantsrising.org/resource/quick-guide-to-college-access/
http://dream.umn.edu/
If you have further questions, contact feel free to reach out to our University Immigration Response Team, their contact information is included below. Immigration Response Team members are available to talk with individuals who are looking for legal assistance and need information about where to get help. Please email them if you're looking to request a consultation.
1901 University Avenue SE, Suite 300
Minneapolis, MN 55414
Phone: 612-624-4224
Email: immigration@umn.edu</t>
  </si>
  <si>
    <t>umn</t>
  </si>
  <si>
    <t>https://www.bates.edu/admission/undocumented-daca-applicants/</t>
  </si>
  <si>
    <t>bates</t>
  </si>
  <si>
    <t xml:space="preserve">
At Vassar, we welcome undocumented students to apply for admission. Undocumented students are considered international students in our applicant pool. As it relates to financial aid, Vassar is committed to meeting the full demonstrated need of all admitted students. Vassar is need-aware for international students.
We have a program here called the Transitions program which is specifically geared to support undocumented students, first-generation and students who come from low-income households. I've provided you the link to a few different websites below that talk about the application process for international students, an opportunity to attend an information session and a link to an article about the transitions program here. I encourage you to visit the websites and sign up for the session. If you still have questions after utilizing those resources, feel free to &lt;a href="mailto:ddurham@vassar.edu"&gt;email me&lt;/a&gt;.
&lt;a href="https://www.vassar.edu/admissions/visit-us/"&gt;Information Session &amp; Visit Options&lt;/a&gt;
&lt;a href="https://www.vassar.edu/admissions/financial-aid/"&gt;Financial Aid&lt;/a&gt;
&lt;a href="https://www.vassar.edu/admissions/student-faqs/international-students.html"&gt;International Student FAQs&lt;/a&gt;
&lt;a href="https://stories.vassar.edu/2016/transitions.html"&gt;Transitions Program&lt;/a&gt;</t>
  </si>
  <si>
    <t>vassar</t>
  </si>
  <si>
    <t>https://www.suny.edu/attend/get-started/undocumented/</t>
  </si>
  <si>
    <t>fitnyc</t>
  </si>
  <si>
    <t>https://enrollment.umbc.edu/undocumented/</t>
  </si>
  <si>
    <t>umbc</t>
  </si>
  <si>
    <t>We consider undocumented students domestic students. We do not consider status as a deciding factor for admission. USciences is also need-blind. We consider every student that applies for an academic or merit-based scholarship.</t>
  </si>
  <si>
    <t>Unfortunately, undocumented students are not eligible for need-based aid as we consider the FAFSA application which requires an SSN. However, our tuition ($27,500) is dramatically lower than many other schools.</t>
  </si>
  <si>
    <t>At this time we do not have any organizations for undocumented students specifically but we have a welcoming campus environment.</t>
  </si>
  <si>
    <t>usciences</t>
  </si>
  <si>
    <t>Are undocumented students considered international or domestic at Northern Arizona University? Undocumented students are considered domestic students at NAU. DACA or undocumented students from Arizona have a 50% higher tuition rate than in state tuition, but tuition for undocumented or DACA students from Arizona is also lower than out of state and international tuition rates.
Are you need-blind for undocumented students? Yes, we are need-blind for all students.
Are there any restrictions on receiving merit aid for undocumented students from Northern Arizona University? Yes, due to &lt;a href=” https://in.nau.edu/registrar/citizenship/”&gt;Prop 300&lt;/a&gt;, a proposition passed by Arizona voters in 2006, we cannot offer merit-based aid to DACA or undocumented students.
Does your school provide merit aid specially for undocumented students? Unfortunately, NAU does not provide merit aid specifically for DACA or undocumented students. However, we do have a helpful website that provides outside scholarship opportunities to DACA and undocumented students, which can be found here: https://in.nau.edu/inclusion/daca-resources/
Would you advice an undocumented student to reveal their status in their application or subsequent email? It is entirely up to the student to disclose this information to us. We do not ask for that information on our admission application, and we will never use that information to harm the student in any way. If an undocumented or DACA student would like to reach out to NAU for support with anything, they should disclose this information to someone at the university that they have been working with and in which they feel comfortable sharing that information.
How would their status affect their application?tudents’ DACA or undocumented status does not affect their admission application whatsoever.
What other piece of advice would you give an undocumented student hoping for admission at your school? Make sure you apply to as many outside scholarships and private donor scholarships that you can in order to help subsidize the costs of your education. Additionally, you do not have to put a social security number on your admission application if you don’t have one. We are here to support you and to provide as much information to you as possible so you can make an informed decision about attending NAU.</t>
  </si>
  <si>
    <t>Are undocumented students eligible for need-based aid? No, unfortunately, DACA and undocumented students are not eligible for need-based aid at NAU due to Prop 300.
What financial aid application should undocumented students send? The CSS, FAFSA, ISFAA or a form unique to your school? This would be a great question for the Departments of Scholarships and Financial Aid. They can be reached at: financial.aid@nau.edu
If need-based aid is not available, is there a feasible path undocumented students can take to pay for their education with stackable merit scholarships, loans and/or grants from your school? This would be a great question for the Departments of Scholarships and Financial Aid. They can be reached at: financial.aid@nau.edu
What would be the requirements for such scholarships and what would a student's chances of getting them? The requirements for specific outside scholarships for DACA and undocumented students vary. Each scholarship has different requirements and deadlines. We recommend that students comb through these scholarships to see what they may qualify for, and apply to any that they do: https://in.nau.edu/inclusion/daca-resources/</t>
  </si>
  <si>
    <t>Are there organized groups or clubs comprised of or advocating for undocumented students in your school? Yes, NAU has a &lt;a href="https://nau.campuslabs.com/engage/organization/latinxstudentunion"&gt;Latinx Student Union&lt;/a&gt;, which advocates for the equity of Dreamers, the protection of the undocumented, advancing queer and non-binary identities, and fighting for equality in all its forms. We also have the &lt;a href="https://in.nau.edu/inclusion/"&gt;Office of Inclusion&lt;/a&gt; that works directly with DACA and undocumented students to provide the resources they may need as NAU students.
How often does your office receive applications from undocumented students? We receive applications from undocumented and DACA students all the time. We are a public state university in Arizona, so our applicant pool and incoming classes consistently reflect the population of the state.
Does Northern Arizona University allow Immigration and Customs Enforcement (ICE) officers onto campus without a warrant? No, NAU does not allow ICE officers onto campus without a warrant. We are a Sanctuary for Higher Education, and our staff and faculty have resolved to limiting the ability of ICE to come on to our campus without exigent circumstance. &lt;a href="resources/resources/resources/APPROVED-DECEMBER-5-2016-Resolution-diversity-and-universal-safety-ek.docx"&gt;(See attached document)&lt;/a&gt;
Does the campus police enforce immigration law? No, our campus police do not enforce immigration law.
Does your school share student immigration status with ICE? No, we do not share student immigration status with ICE.
Does your school provide distance-learning options for deported students to complete their degrees? Yes, NAU does offer several distance learning degree programs, which can be found here: https://nau.edu/online/
Does your school provide confidential legal support to students with immigration law questions and issues? Yes, NAU offers a Student Legal Counsel Office to assist NAU students with any issues of legal nature. More information can be found here: https://in.nau.edu/dean-of-students/student-legal-counsel/</t>
  </si>
  <si>
    <t>The Office of Inclusion can be reached at inclusion@nau.edu or at 928-523-5656</t>
  </si>
  <si>
    <t>nau</t>
  </si>
  <si>
    <t>We have a student organization on campus called Dream Scholars and Colleagues. The group is comprised of both students who are undocumented as well as students who support the cause. Some of their work is specifically intended to raise funds for scholarships for undocumented individuals looking to go to UW-Whitewater.</t>
  </si>
  <si>
    <t>SVA does not discriminate against potential applicants by their background or immigration status. This will not be considered for your application, and you have no need to worry about that. Your status will not be revealed or marked anywhere if you wish to be so, as we do not record statuses unless we are helping to support that status, such as an F1 student studying with SVA that we must record their status since we are supporting them to maintain it.</t>
  </si>
  <si>
    <t>sva</t>
  </si>
  <si>
    <t>Missouri state statutes require all public universities in the state to charge undocumented students, and those with DACA status, the non-resident tuition rate and prohibit students with either of those statuses from receiving any state or institutional aid. You can see the &lt;a href="https://legiscan.com/MO/text/HB3/id/1213659"&gt;language of the statute here&lt;/a&gt;, with the relevant part to this topic appearing in the first paragraph on the first page.</t>
  </si>
  <si>
    <t>missouri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</si>
</sst>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0"/>
      <color rgb="FF000000"/>
      <name val="Arial"/>
      <scheme val="minor"/>
    </font>
    <font>
      <sz val="12"/>
      <color rgb="FF000000"/>
      <name val="Calibri"/>
    </font>
    <font>
      <sz val="10"/>
      <color rgb="FF000000"/>
      <name val="Arial"/>
    </font>
    <font>
      <sz val="11"/>
      <color rgb="FF008000"/>
      <name val="Inconsolata"/>
    </font>
    <font>
      <u/>
      <sz val="12"/>
      <color rgb="FF000000"/>
      <name val="Calibri"/>
    </font>
    <font>
      <u/>
      <sz val="10"/>
      <color theme="10"/>
      <name val="Arial"/>
    </font>
    <font>
      <sz val="10"/>
      <color theme="10"/>
      <name val="Arial"/>
    </font>
    <font>
      <u/>
      <sz val="10"/>
      <color theme="10"/>
      <name val="Arial"/>
    </font>
    <font>
      <u/>
      <sz val="10"/>
      <color theme="10"/>
      <name val="Arial"/>
    </font>
    <font>
      <u/>
      <sz val="10"/>
      <color rgb="FF1155CC"/>
      <name val="Arial"/>
    </font>
  </fonts>
  <fills count="3">
    <fill>
      <patternFill patternType="none"/>
    </fill>
    <fill>
      <patternFill patternType="gray125"/>
    </fill>
    <fill>
      <patternFill patternType="solid">
        <fgColor rgb="FFFFFFFF"/>
        <bgColor rgb="FFFFFFFF"/>
      </patternFill>
    </fill>
  </fills>
  <borders count="5">
    <border>
      <left/>
      <right/>
      <top/>
      <bottom/>
      <diagonal/>
    </border>
    <border>
      <left style="thin">
        <color rgb="FFBFBFBF"/>
      </left>
      <right/>
      <top style="thin">
        <color rgb="FFBFBFBF"/>
      </top>
      <bottom style="thin">
        <color rgb="FFBFBFBF"/>
      </bottom>
      <diagonal/>
    </border>
    <border>
      <left style="thin">
        <color rgb="FFBFBFBF"/>
      </left>
      <right/>
      <top style="thin">
        <color rgb="FFBFBFBF"/>
      </top>
      <bottom style="thin">
        <color rgb="FFBFBFBF"/>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s>
  <cellStyleXfs count="1">
    <xf numFmtId="0" fontId="0" fillId="0" borderId="0"/>
  </cellStyleXfs>
  <cellXfs count="23">
    <xf numFmtId="0" fontId="0" fillId="0" borderId="0" xfId="0" applyFont="1" applyAlignment="1"/>
    <xf numFmtId="0" fontId="1" fillId="0" borderId="0" xfId="0" applyFont="1"/>
    <xf numFmtId="0" fontId="1" fillId="0" borderId="1" xfId="0" applyFont="1" applyBorder="1"/>
    <xf numFmtId="0" fontId="2" fillId="0" borderId="0" xfId="0" applyFont="1" applyAlignment="1"/>
    <xf numFmtId="0" fontId="2" fillId="0" borderId="0" xfId="0" applyFont="1"/>
    <xf numFmtId="0" fontId="1" fillId="2" borderId="2" xfId="0" applyFont="1" applyFill="1" applyBorder="1"/>
    <xf numFmtId="0" fontId="3" fillId="2" borderId="0" xfId="0" applyFont="1" applyFill="1" applyAlignment="1"/>
    <xf numFmtId="0" fontId="4" fillId="0" borderId="0" xfId="0" applyFont="1"/>
    <xf numFmtId="0" fontId="2" fillId="0" borderId="0" xfId="0" applyFont="1"/>
    <xf numFmtId="0" fontId="5" fillId="0" borderId="0" xfId="0" applyFont="1"/>
    <xf numFmtId="0" fontId="2"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6" fillId="0" borderId="0" xfId="0" applyFont="1"/>
    <xf numFmtId="0" fontId="2" fillId="0" borderId="3" xfId="0" applyFont="1" applyBorder="1" applyAlignment="1">
      <alignment wrapText="1"/>
    </xf>
    <xf numFmtId="0" fontId="2" fillId="0" borderId="3" xfId="0" applyFont="1" applyBorder="1" applyAlignment="1">
      <alignment vertical="center"/>
    </xf>
    <xf numFmtId="0" fontId="2" fillId="0" borderId="3" xfId="0" applyFont="1" applyBorder="1" applyAlignment="1">
      <alignment vertical="center" wrapText="1"/>
    </xf>
    <xf numFmtId="0" fontId="8" fillId="0" borderId="3" xfId="0" applyFont="1" applyBorder="1" applyAlignment="1">
      <alignment vertical="center"/>
    </xf>
    <xf numFmtId="0" fontId="2" fillId="0" borderId="0" xfId="0" applyFont="1" applyAlignment="1">
      <alignment vertical="center"/>
    </xf>
    <xf numFmtId="0" fontId="2" fillId="0" borderId="4" xfId="0" applyFont="1" applyBorder="1" applyAlignment="1">
      <alignment wrapText="1"/>
    </xf>
    <xf numFmtId="0" fontId="2" fillId="0" borderId="4" xfId="0" applyFont="1" applyBorder="1" applyAlignment="1">
      <alignment vertical="center"/>
    </xf>
    <xf numFmtId="0" fontId="2" fillId="0" borderId="0" xfId="0" applyFont="1" applyAlignment="1">
      <alignment vertical="center" wrapText="1"/>
    </xf>
    <xf numFmtId="0" fontId="6" fillId="0" borderId="0" xfId="0" applyFont="1" applyAlignment="1">
      <alignment vertical="center"/>
    </xf>
  </cellXfs>
  <cellStyles count="1">
    <cellStyle name="Normal" xfId="0" builtinId="0"/>
  </cellStyles>
  <dxfs count="9">
    <dxf>
      <fill>
        <patternFill patternType="solid">
          <fgColor rgb="FFD9E2F3"/>
          <bgColor rgb="FFD9E2F3"/>
        </patternFill>
      </fill>
    </dxf>
    <dxf>
      <fill>
        <patternFill patternType="solid">
          <fgColor rgb="FFB4C6E7"/>
          <bgColor rgb="FFB4C6E7"/>
        </patternFill>
      </fill>
    </dxf>
    <dxf>
      <fill>
        <patternFill patternType="solid">
          <fgColor theme="4"/>
          <bgColor theme="4"/>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E7F9EF"/>
          <bgColor rgb="FFE7F9EF"/>
        </patternFill>
      </fill>
    </dxf>
    <dxf>
      <fill>
        <patternFill patternType="solid">
          <fgColor rgb="FFE7F9EF"/>
          <bgColor rgb="FFE7F9EF"/>
        </patternFill>
      </fill>
    </dxf>
    <dxf>
      <fill>
        <patternFill patternType="solid">
          <fgColor rgb="FF63D297"/>
          <bgColor rgb="FF63D297"/>
        </patternFill>
      </fill>
    </dxf>
  </dxfs>
  <tableStyles count="3">
    <tableStyle name="Contact Information-style" pivot="0" count="3" xr9:uid="{00000000-0011-0000-FFFF-FFFF00000000}">
      <tableStyleElement type="headerRow" dxfId="8"/>
      <tableStyleElement type="firstRowStripe" dxfId="7"/>
      <tableStyleElement type="secondRowStripe" dxfId="6"/>
    </tableStyle>
    <tableStyle name="Contact Information-style 2" pivot="0" count="3" xr9:uid="{00000000-0011-0000-FFFF-FFFF01000000}">
      <tableStyleElement type="headerRow" dxfId="5"/>
      <tableStyleElement type="firstRowStripe" dxfId="4"/>
      <tableStyleElement type="secondRowStripe" dxfId="3"/>
    </tableStyle>
    <tableStyle name="Process information-style" pivot="0" count="3" xr9:uid="{00000000-0011-0000-FFFF-FFFF02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E1:E2">
  <tableColumns count="1">
    <tableColumn id="1" xr3:uid="{00000000-0010-0000-0000-000001000000}" name="RegEx Formula"/>
  </tableColumns>
  <tableStyleInfo name="Contact Information-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1:C1516">
  <tableColumns count="3">
    <tableColumn id="1" xr3:uid="{00000000-0010-0000-0100-000001000000}" name="College"/>
    <tableColumn id="2" xr3:uid="{00000000-0010-0000-0100-000002000000}" name="Email"/>
    <tableColumn id="3" xr3:uid="{00000000-0010-0000-0100-000003000000}" name="Domain"/>
  </tableColumns>
  <tableStyleInfo name="Contact Information-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1:H163">
  <tableColumns count="8">
    <tableColumn id="1" xr3:uid="{00000000-0010-0000-0200-000001000000}" name="Institution "/>
    <tableColumn id="2" xr3:uid="{00000000-0010-0000-0200-000002000000}" name="Admissions information"/>
    <tableColumn id="3" xr3:uid="{00000000-0010-0000-0200-000003000000}" name="Financial aid information"/>
    <tableColumn id="4" xr3:uid="{00000000-0010-0000-0200-000004000000}" name="Student life"/>
    <tableColumn id="5" xr3:uid="{00000000-0010-0000-0200-000005000000}" name="Special contact"/>
    <tableColumn id="6" xr3:uid="{00000000-0010-0000-0200-000006000000}" name="Gives need-aid?"/>
    <tableColumn id="7" xr3:uid="{00000000-0010-0000-0200-000007000000}" name="Mergers"/>
    <tableColumn id="8" xr3:uid="{00000000-0010-0000-0200-000008000000}" name="Domain"/>
  </tableColumns>
  <tableStyleInfo name="Process informatio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mailto:admissions@umuc.edu" TargetMode="External"/><Relationship Id="rId1" Type="http://schemas.openxmlformats.org/officeDocument/2006/relationships/hyperlink" Target="mailto:admissions@bucknell.edu" TargetMode="Externa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niu.edu/undocumented/index.shtml" TargetMode="External"/><Relationship Id="rId13" Type="http://schemas.openxmlformats.org/officeDocument/2006/relationships/table" Target="../tables/table3.xml"/><Relationship Id="rId3" Type="http://schemas.openxmlformats.org/officeDocument/2006/relationships/hyperlink" Target="https://apply.nmsu.edu/portal/1on1videochat" TargetMode="External"/><Relationship Id="rId7" Type="http://schemas.openxmlformats.org/officeDocument/2006/relationships/hyperlink" Target="https://apply.emory.edu/apply/other/undocumented.html" TargetMode="External"/><Relationship Id="rId12" Type="http://schemas.openxmlformats.org/officeDocument/2006/relationships/hyperlink" Target="https://enrollment.umbc.edu/undocumented/" TargetMode="External"/><Relationship Id="rId2" Type="http://schemas.openxmlformats.org/officeDocument/2006/relationships/hyperlink" Target="https://www.hawaii.edu/undocumented-students/" TargetMode="External"/><Relationship Id="rId1" Type="http://schemas.openxmlformats.org/officeDocument/2006/relationships/hyperlink" Target="https://www.chapman.edu/admission/undergraduate/how-to-apply/undocumented-students.aspx" TargetMode="External"/><Relationship Id="rId6" Type="http://schemas.openxmlformats.org/officeDocument/2006/relationships/hyperlink" Target="https://www.up.edu/inclusion/undocumented-students/index.html" TargetMode="External"/><Relationship Id="rId11" Type="http://schemas.openxmlformats.org/officeDocument/2006/relationships/hyperlink" Target="https://www.suny.edu/attend/get-started/undocumented/" TargetMode="External"/><Relationship Id="rId5" Type="http://schemas.openxmlformats.org/officeDocument/2006/relationships/hyperlink" Target="https://www.uc.edu/about/international/admissions/apply/DACA.html" TargetMode="External"/><Relationship Id="rId10" Type="http://schemas.openxmlformats.org/officeDocument/2006/relationships/hyperlink" Target="https://www.bates.edu/admission/undocumented-daca-applicants/" TargetMode="External"/><Relationship Id="rId4" Type="http://schemas.openxmlformats.org/officeDocument/2006/relationships/hyperlink" Target="https://www.uvu.edu/studentaffairs/initiatives/" TargetMode="External"/><Relationship Id="rId9" Type="http://schemas.openxmlformats.org/officeDocument/2006/relationships/hyperlink" Target="https://admissions.uni.edu/dacamented-and-undocumented-studen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657"/>
  <sheetViews>
    <sheetView tabSelected="1" topLeftCell="A71" workbookViewId="0">
      <selection activeCell="E8" sqref="E8"/>
    </sheetView>
  </sheetViews>
  <sheetFormatPr baseColWidth="10" defaultColWidth="12.6640625" defaultRowHeight="15" customHeight="1" x14ac:dyDescent="0.15"/>
  <cols>
    <col min="1" max="1" width="61.33203125" bestFit="1" customWidth="1"/>
    <col min="2" max="2" width="38.83203125" bestFit="1" customWidth="1"/>
    <col min="3" max="3" width="20.1640625" bestFit="1" customWidth="1"/>
    <col min="4" max="4" width="14.5" customWidth="1"/>
    <col min="5" max="5" width="25.5" bestFit="1" customWidth="1"/>
    <col min="6" max="6" width="32.1640625" customWidth="1"/>
    <col min="7" max="26" width="14.5" customWidth="1"/>
  </cols>
  <sheetData>
    <row r="1" spans="1:26" ht="15.75" customHeight="1" x14ac:dyDescent="0.2">
      <c r="A1" s="1" t="s">
        <v>0</v>
      </c>
      <c r="B1" s="1" t="s">
        <v>1</v>
      </c>
      <c r="C1" s="2" t="s">
        <v>2</v>
      </c>
      <c r="E1" s="3" t="s">
        <v>3</v>
      </c>
      <c r="G1" s="4"/>
      <c r="H1" s="4"/>
      <c r="I1" s="4"/>
      <c r="J1" s="4"/>
      <c r="K1" s="4"/>
      <c r="L1" s="4"/>
      <c r="M1" s="4"/>
      <c r="N1" s="4"/>
      <c r="O1" s="4"/>
      <c r="P1" s="4"/>
      <c r="Q1" s="4"/>
      <c r="R1" s="4"/>
      <c r="S1" s="4"/>
      <c r="T1" s="4"/>
      <c r="U1" s="4"/>
      <c r="V1" s="4"/>
      <c r="W1" s="4"/>
      <c r="X1" s="4"/>
      <c r="Y1" s="4"/>
      <c r="Z1" s="4"/>
    </row>
    <row r="2" spans="1:26" ht="15.75" customHeight="1" x14ac:dyDescent="0.2">
      <c r="A2" s="1" t="s">
        <v>4</v>
      </c>
      <c r="B2" s="1" t="s">
        <v>5</v>
      </c>
      <c r="C2" s="5" t="str">
        <f ca="1">IFERROR(__xludf.DUMMYFUNCTION("REGEXEXTRACT($B2, $E$2)"),"acu")</f>
        <v>acu</v>
      </c>
      <c r="E2" s="6" t="s">
        <v>6</v>
      </c>
      <c r="F2" s="4"/>
      <c r="G2" s="4"/>
      <c r="H2" s="4"/>
      <c r="I2" s="4"/>
      <c r="J2" s="4"/>
      <c r="K2" s="4"/>
      <c r="L2" s="4"/>
      <c r="M2" s="4"/>
      <c r="N2" s="4"/>
      <c r="O2" s="4"/>
      <c r="P2" s="4"/>
      <c r="Q2" s="4"/>
      <c r="R2" s="4"/>
      <c r="S2" s="4"/>
      <c r="T2" s="4"/>
      <c r="U2" s="4"/>
      <c r="V2" s="4"/>
      <c r="W2" s="4"/>
      <c r="X2" s="4"/>
      <c r="Y2" s="4"/>
      <c r="Z2" s="4"/>
    </row>
    <row r="3" spans="1:26" ht="15.75" customHeight="1" x14ac:dyDescent="0.2">
      <c r="A3" s="1" t="s">
        <v>7</v>
      </c>
      <c r="B3" s="1" t="s">
        <v>8</v>
      </c>
      <c r="C3" s="5" t="str">
        <f ca="1">IFERROR(__xludf.DUMMYFUNCTION("REGEXEXTRACT($B3, $E$2)"),"academyart")</f>
        <v>academyart</v>
      </c>
      <c r="E3" s="4"/>
      <c r="F3" s="4"/>
      <c r="G3" s="4"/>
      <c r="H3" s="4"/>
      <c r="I3" s="4"/>
      <c r="J3" s="4"/>
      <c r="K3" s="4"/>
      <c r="L3" s="4"/>
      <c r="M3" s="4"/>
      <c r="N3" s="4"/>
      <c r="O3" s="4"/>
      <c r="P3" s="4"/>
      <c r="Q3" s="4"/>
      <c r="R3" s="4"/>
      <c r="S3" s="4"/>
      <c r="T3" s="4"/>
      <c r="U3" s="4"/>
      <c r="V3" s="4"/>
      <c r="W3" s="4"/>
      <c r="X3" s="4"/>
      <c r="Y3" s="4"/>
      <c r="Z3" s="4"/>
    </row>
    <row r="4" spans="1:26" ht="15.75" customHeight="1" x14ac:dyDescent="0.2">
      <c r="A4" s="1" t="s">
        <v>9</v>
      </c>
      <c r="B4" s="1" t="s">
        <v>10</v>
      </c>
      <c r="C4" s="5" t="str">
        <f ca="1">IFERROR(__xludf.DUMMYFUNCTION("REGEXEXTRACT($B4, $E$2)"),"adams")</f>
        <v>adams</v>
      </c>
      <c r="E4" s="4"/>
      <c r="F4" s="4"/>
      <c r="G4" s="4"/>
      <c r="H4" s="4"/>
      <c r="I4" s="4"/>
      <c r="J4" s="4"/>
      <c r="K4" s="4"/>
      <c r="L4" s="4"/>
      <c r="M4" s="4"/>
      <c r="N4" s="4"/>
      <c r="O4" s="4"/>
      <c r="P4" s="4"/>
      <c r="Q4" s="4"/>
      <c r="R4" s="4"/>
      <c r="S4" s="4"/>
      <c r="T4" s="4"/>
      <c r="U4" s="4"/>
      <c r="V4" s="4"/>
      <c r="W4" s="4"/>
      <c r="X4" s="4"/>
      <c r="Y4" s="4"/>
      <c r="Z4" s="4"/>
    </row>
    <row r="5" spans="1:26" ht="15.75" customHeight="1" x14ac:dyDescent="0.2">
      <c r="A5" s="1" t="s">
        <v>11</v>
      </c>
      <c r="B5" s="1" t="s">
        <v>12</v>
      </c>
      <c r="C5" s="5" t="str">
        <f ca="1">IFERROR(__xludf.DUMMYFUNCTION("REGEXEXTRACT($B5, $E$2)"),"adelphi")</f>
        <v>adelphi</v>
      </c>
      <c r="E5" s="4"/>
      <c r="F5" s="4"/>
      <c r="G5" s="4"/>
      <c r="H5" s="4"/>
      <c r="I5" s="4"/>
      <c r="J5" s="4"/>
      <c r="K5" s="4"/>
      <c r="L5" s="4"/>
      <c r="M5" s="4"/>
      <c r="N5" s="4"/>
      <c r="O5" s="4"/>
      <c r="P5" s="4"/>
      <c r="Q5" s="4"/>
      <c r="R5" s="4"/>
      <c r="S5" s="4"/>
      <c r="T5" s="4"/>
      <c r="U5" s="4"/>
      <c r="V5" s="4"/>
      <c r="W5" s="4"/>
      <c r="X5" s="4"/>
      <c r="Y5" s="4"/>
      <c r="Z5" s="4"/>
    </row>
    <row r="6" spans="1:26" ht="15.75" customHeight="1" x14ac:dyDescent="0.2">
      <c r="A6" s="1" t="s">
        <v>13</v>
      </c>
      <c r="B6" s="1" t="s">
        <v>14</v>
      </c>
      <c r="C6" s="5" t="str">
        <f ca="1">IFERROR(__xludf.DUMMYFUNCTION("REGEXEXTRACT($B6, $E$2)"),"adrian")</f>
        <v>adrian</v>
      </c>
      <c r="E6" s="4"/>
      <c r="F6" s="4"/>
      <c r="G6" s="4"/>
      <c r="H6" s="4"/>
      <c r="I6" s="4"/>
      <c r="J6" s="4"/>
      <c r="K6" s="4"/>
      <c r="L6" s="4"/>
      <c r="M6" s="4"/>
      <c r="N6" s="4"/>
      <c r="O6" s="4"/>
      <c r="P6" s="4"/>
      <c r="Q6" s="4"/>
      <c r="R6" s="4"/>
      <c r="S6" s="4"/>
      <c r="T6" s="4"/>
      <c r="U6" s="4"/>
      <c r="V6" s="4"/>
      <c r="W6" s="4"/>
      <c r="X6" s="4"/>
      <c r="Y6" s="4"/>
      <c r="Z6" s="4"/>
    </row>
    <row r="7" spans="1:26" ht="15.75" customHeight="1" x14ac:dyDescent="0.2">
      <c r="A7" s="1" t="s">
        <v>15</v>
      </c>
      <c r="B7" s="1" t="s">
        <v>16</v>
      </c>
      <c r="C7" s="5" t="str">
        <f ca="1">IFERROR(__xludf.DUMMYFUNCTION("REGEXEXTRACT($B7, $E$2)"),"agnesscott")</f>
        <v>agnesscott</v>
      </c>
      <c r="E7" s="4"/>
      <c r="F7" s="4"/>
      <c r="G7" s="4"/>
      <c r="H7" s="4"/>
      <c r="I7" s="4"/>
      <c r="J7" s="4"/>
      <c r="K7" s="4"/>
      <c r="L7" s="4"/>
      <c r="M7" s="4"/>
      <c r="N7" s="4"/>
      <c r="O7" s="4"/>
      <c r="P7" s="4"/>
      <c r="Q7" s="4"/>
      <c r="R7" s="4"/>
      <c r="S7" s="4"/>
      <c r="T7" s="4"/>
      <c r="U7" s="4"/>
      <c r="V7" s="4"/>
      <c r="W7" s="4"/>
      <c r="X7" s="4"/>
      <c r="Y7" s="4"/>
      <c r="Z7" s="4"/>
    </row>
    <row r="8" spans="1:26" ht="15.75" customHeight="1" x14ac:dyDescent="0.2">
      <c r="A8" s="1" t="s">
        <v>17</v>
      </c>
      <c r="B8" s="1" t="s">
        <v>18</v>
      </c>
      <c r="C8" s="5" t="str">
        <f ca="1">IFERROR(__xludf.DUMMYFUNCTION("REGEXEXTRACT($B8, $E$2)"),"aamu")</f>
        <v>aamu</v>
      </c>
      <c r="E8" s="4"/>
      <c r="F8" s="4"/>
      <c r="G8" s="4"/>
      <c r="H8" s="4"/>
      <c r="I8" s="4"/>
      <c r="J8" s="4"/>
      <c r="K8" s="4"/>
      <c r="L8" s="4"/>
      <c r="M8" s="4"/>
      <c r="N8" s="4"/>
      <c r="O8" s="4"/>
      <c r="P8" s="4"/>
      <c r="Q8" s="4"/>
      <c r="R8" s="4"/>
      <c r="S8" s="4"/>
      <c r="T8" s="4"/>
      <c r="U8" s="4"/>
      <c r="V8" s="4"/>
      <c r="W8" s="4"/>
      <c r="X8" s="4"/>
      <c r="Y8" s="4"/>
      <c r="Z8" s="4"/>
    </row>
    <row r="9" spans="1:26" ht="15.75" customHeight="1" x14ac:dyDescent="0.2">
      <c r="A9" s="1" t="s">
        <v>19</v>
      </c>
      <c r="B9" s="1" t="s">
        <v>20</v>
      </c>
      <c r="C9" s="5" t="str">
        <f ca="1">IFERROR(__xludf.DUMMYFUNCTION("REGEXEXTRACT($B9, $E$2)"),"alasu")</f>
        <v>alasu</v>
      </c>
      <c r="E9" s="4"/>
      <c r="F9" s="4"/>
      <c r="G9" s="4"/>
      <c r="H9" s="4"/>
      <c r="I9" s="4"/>
      <c r="J9" s="4"/>
      <c r="K9" s="4"/>
      <c r="L9" s="4"/>
      <c r="M9" s="4"/>
      <c r="N9" s="4"/>
      <c r="O9" s="4"/>
      <c r="P9" s="4"/>
      <c r="Q9" s="4"/>
      <c r="R9" s="4"/>
      <c r="S9" s="4"/>
      <c r="T9" s="4"/>
      <c r="U9" s="4"/>
      <c r="V9" s="4"/>
      <c r="W9" s="4"/>
      <c r="X9" s="4"/>
      <c r="Y9" s="4"/>
      <c r="Z9" s="4"/>
    </row>
    <row r="10" spans="1:26" ht="15.75" customHeight="1" x14ac:dyDescent="0.2">
      <c r="A10" s="1" t="s">
        <v>21</v>
      </c>
      <c r="B10" s="1" t="s">
        <v>22</v>
      </c>
      <c r="C10" s="5" t="str">
        <f ca="1">IFERROR(__xludf.DUMMYFUNCTION("REGEXEXTRACT($B10, $E$2)"),"akbible")</f>
        <v>akbible</v>
      </c>
      <c r="E10" s="4"/>
      <c r="F10" s="4"/>
      <c r="G10" s="4"/>
      <c r="H10" s="4"/>
      <c r="I10" s="4"/>
      <c r="J10" s="4"/>
      <c r="K10" s="4"/>
      <c r="L10" s="4"/>
      <c r="M10" s="4"/>
      <c r="N10" s="4"/>
      <c r="O10" s="4"/>
      <c r="P10" s="4"/>
      <c r="Q10" s="4"/>
      <c r="R10" s="4"/>
      <c r="S10" s="4"/>
      <c r="T10" s="4"/>
      <c r="U10" s="4"/>
      <c r="V10" s="4"/>
      <c r="W10" s="4"/>
      <c r="X10" s="4"/>
      <c r="Y10" s="4"/>
      <c r="Z10" s="4"/>
    </row>
    <row r="11" spans="1:26" ht="15.75" customHeight="1" x14ac:dyDescent="0.2">
      <c r="A11" s="1" t="s">
        <v>23</v>
      </c>
      <c r="B11" s="1" t="s">
        <v>24</v>
      </c>
      <c r="C11" s="5" t="str">
        <f ca="1">IFERROR(__xludf.DUMMYFUNCTION("REGEXEXTRACT($B11, $E$2)"),"alaskapacific")</f>
        <v>alaskapacific</v>
      </c>
      <c r="E11" s="4"/>
      <c r="F11" s="4"/>
      <c r="G11" s="4"/>
      <c r="H11" s="4"/>
      <c r="I11" s="4"/>
      <c r="J11" s="4"/>
      <c r="K11" s="4"/>
      <c r="L11" s="4"/>
      <c r="M11" s="4"/>
      <c r="N11" s="4"/>
      <c r="O11" s="4"/>
      <c r="P11" s="4"/>
      <c r="Q11" s="4"/>
      <c r="R11" s="4"/>
      <c r="S11" s="4"/>
      <c r="T11" s="4"/>
      <c r="U11" s="4"/>
      <c r="V11" s="4"/>
      <c r="W11" s="4"/>
      <c r="X11" s="4"/>
      <c r="Y11" s="4"/>
      <c r="Z11" s="4"/>
    </row>
    <row r="12" spans="1:26" ht="15.75" customHeight="1" x14ac:dyDescent="0.2">
      <c r="A12" s="1" t="s">
        <v>25</v>
      </c>
      <c r="B12" s="1" t="s">
        <v>26</v>
      </c>
      <c r="C12" s="5" t="str">
        <f ca="1">IFERROR(__xludf.DUMMYFUNCTION("REGEXEXTRACT($B12, $E$2)"),"acphs")</f>
        <v>acphs</v>
      </c>
      <c r="E12" s="4"/>
      <c r="F12" s="4"/>
      <c r="G12" s="4"/>
      <c r="H12" s="4"/>
      <c r="I12" s="4"/>
      <c r="J12" s="4"/>
      <c r="K12" s="4"/>
      <c r="L12" s="4"/>
      <c r="M12" s="4"/>
      <c r="N12" s="4"/>
      <c r="O12" s="4"/>
      <c r="P12" s="4"/>
      <c r="Q12" s="4"/>
      <c r="R12" s="4"/>
      <c r="S12" s="4"/>
      <c r="T12" s="4"/>
      <c r="U12" s="4"/>
      <c r="V12" s="4"/>
      <c r="W12" s="4"/>
      <c r="X12" s="4"/>
      <c r="Y12" s="4"/>
      <c r="Z12" s="4"/>
    </row>
    <row r="13" spans="1:26" ht="15.75" customHeight="1" x14ac:dyDescent="0.2">
      <c r="A13" s="1" t="s">
        <v>27</v>
      </c>
      <c r="B13" s="1" t="s">
        <v>28</v>
      </c>
      <c r="C13" s="5" t="str">
        <f ca="1">IFERROR(__xludf.DUMMYFUNCTION("REGEXEXTRACT($B13, $E$2)"),"asurams")</f>
        <v>asurams</v>
      </c>
      <c r="E13" s="4"/>
      <c r="F13" s="4"/>
      <c r="G13" s="4"/>
      <c r="H13" s="4"/>
      <c r="I13" s="4"/>
      <c r="J13" s="4"/>
      <c r="K13" s="4"/>
      <c r="L13" s="4"/>
      <c r="M13" s="4"/>
      <c r="N13" s="4"/>
      <c r="O13" s="4"/>
      <c r="P13" s="4"/>
      <c r="Q13" s="4"/>
      <c r="R13" s="4"/>
      <c r="S13" s="4"/>
      <c r="T13" s="4"/>
      <c r="U13" s="4"/>
      <c r="V13" s="4"/>
      <c r="W13" s="4"/>
      <c r="X13" s="4"/>
      <c r="Y13" s="4"/>
      <c r="Z13" s="4"/>
    </row>
    <row r="14" spans="1:26" ht="15.75" customHeight="1" x14ac:dyDescent="0.2">
      <c r="A14" s="1" t="s">
        <v>29</v>
      </c>
      <c r="B14" s="1" t="s">
        <v>30</v>
      </c>
      <c r="C14" s="5" t="str">
        <f ca="1">IFERROR(__xludf.DUMMYFUNCTION("REGEXEXTRACT($B14, $E$2)"),"albertus")</f>
        <v>albertus</v>
      </c>
      <c r="E14" s="4"/>
      <c r="F14" s="4"/>
      <c r="G14" s="4"/>
      <c r="H14" s="4"/>
      <c r="I14" s="4"/>
      <c r="J14" s="4"/>
      <c r="K14" s="4"/>
      <c r="L14" s="4"/>
      <c r="M14" s="4"/>
      <c r="N14" s="4"/>
      <c r="O14" s="4"/>
      <c r="P14" s="4"/>
      <c r="Q14" s="4"/>
      <c r="R14" s="4"/>
      <c r="S14" s="4"/>
      <c r="T14" s="4"/>
      <c r="U14" s="4"/>
      <c r="V14" s="4"/>
      <c r="W14" s="4"/>
      <c r="X14" s="4"/>
      <c r="Y14" s="4"/>
      <c r="Z14" s="4"/>
    </row>
    <row r="15" spans="1:26" ht="15.75" customHeight="1" x14ac:dyDescent="0.2">
      <c r="A15" s="1" t="s">
        <v>31</v>
      </c>
      <c r="B15" s="1" t="s">
        <v>32</v>
      </c>
      <c r="C15" s="5" t="str">
        <f ca="1">IFERROR(__xludf.DUMMYFUNCTION("REGEXEXTRACT($B15, $E$2)"),"albion")</f>
        <v>albion</v>
      </c>
      <c r="E15" s="4"/>
      <c r="F15" s="4"/>
      <c r="G15" s="4"/>
      <c r="H15" s="4"/>
      <c r="I15" s="4"/>
      <c r="J15" s="4"/>
      <c r="K15" s="4"/>
      <c r="L15" s="4"/>
      <c r="M15" s="4"/>
      <c r="N15" s="4"/>
      <c r="O15" s="4"/>
      <c r="P15" s="4"/>
      <c r="Q15" s="4"/>
      <c r="R15" s="4"/>
      <c r="S15" s="4"/>
      <c r="T15" s="4"/>
      <c r="U15" s="4"/>
      <c r="V15" s="4"/>
      <c r="W15" s="4"/>
      <c r="X15" s="4"/>
      <c r="Y15" s="4"/>
      <c r="Z15" s="4"/>
    </row>
    <row r="16" spans="1:26" ht="15.75" customHeight="1" x14ac:dyDescent="0.2">
      <c r="A16" s="1" t="s">
        <v>33</v>
      </c>
      <c r="B16" s="1" t="s">
        <v>34</v>
      </c>
      <c r="C16" s="5" t="str">
        <f ca="1">IFERROR(__xludf.DUMMYFUNCTION("REGEXEXTRACT($B16, $E$2)"),"alb")</f>
        <v>alb</v>
      </c>
      <c r="E16" s="4"/>
      <c r="F16" s="4"/>
      <c r="G16" s="4"/>
      <c r="H16" s="4"/>
      <c r="I16" s="4"/>
      <c r="J16" s="4"/>
      <c r="K16" s="4"/>
      <c r="L16" s="4"/>
      <c r="M16" s="4"/>
      <c r="N16" s="4"/>
      <c r="O16" s="4"/>
      <c r="P16" s="4"/>
      <c r="Q16" s="4"/>
      <c r="R16" s="4"/>
      <c r="S16" s="4"/>
      <c r="T16" s="4"/>
      <c r="U16" s="4"/>
      <c r="V16" s="4"/>
      <c r="W16" s="4"/>
      <c r="X16" s="4"/>
      <c r="Y16" s="4"/>
      <c r="Z16" s="4"/>
    </row>
    <row r="17" spans="1:26" ht="15.75" customHeight="1" x14ac:dyDescent="0.2">
      <c r="A17" s="1" t="s">
        <v>35</v>
      </c>
      <c r="B17" s="1" t="s">
        <v>36</v>
      </c>
      <c r="C17" s="5" t="str">
        <f ca="1">IFERROR(__xludf.DUMMYFUNCTION("REGEXEXTRACT($B17, $E$2)"),"alcorn")</f>
        <v>alcorn</v>
      </c>
      <c r="E17" s="4"/>
      <c r="F17" s="4"/>
      <c r="G17" s="4"/>
      <c r="H17" s="4"/>
      <c r="I17" s="4"/>
      <c r="J17" s="4"/>
      <c r="K17" s="4"/>
      <c r="L17" s="4"/>
      <c r="M17" s="4"/>
      <c r="N17" s="4"/>
      <c r="O17" s="4"/>
      <c r="P17" s="4"/>
      <c r="Q17" s="4"/>
      <c r="R17" s="4"/>
      <c r="S17" s="4"/>
      <c r="T17" s="4"/>
      <c r="U17" s="4"/>
      <c r="V17" s="4"/>
      <c r="W17" s="4"/>
      <c r="X17" s="4"/>
      <c r="Y17" s="4"/>
      <c r="Z17" s="4"/>
    </row>
    <row r="18" spans="1:26" ht="15.75" customHeight="1" x14ac:dyDescent="0.2">
      <c r="A18" s="1" t="s">
        <v>37</v>
      </c>
      <c r="B18" s="1" t="s">
        <v>38</v>
      </c>
      <c r="C18" s="5" t="str">
        <f ca="1">IFERROR(__xludf.DUMMYFUNCTION("REGEXEXTRACT($B18, $E$2)"),"ab")</f>
        <v>ab</v>
      </c>
      <c r="E18" s="4"/>
      <c r="F18" s="4"/>
      <c r="G18" s="4"/>
      <c r="H18" s="4"/>
      <c r="I18" s="4"/>
      <c r="J18" s="4"/>
      <c r="K18" s="4"/>
      <c r="L18" s="4"/>
      <c r="M18" s="4"/>
      <c r="N18" s="4"/>
      <c r="O18" s="4"/>
      <c r="P18" s="4"/>
      <c r="Q18" s="4"/>
      <c r="R18" s="4"/>
      <c r="S18" s="4"/>
      <c r="T18" s="4"/>
      <c r="U18" s="4"/>
      <c r="V18" s="4"/>
      <c r="W18" s="4"/>
      <c r="X18" s="4"/>
      <c r="Y18" s="4"/>
      <c r="Z18" s="4"/>
    </row>
    <row r="19" spans="1:26" ht="15.75" customHeight="1" x14ac:dyDescent="0.2">
      <c r="A19" s="1" t="s">
        <v>39</v>
      </c>
      <c r="B19" s="1" t="s">
        <v>40</v>
      </c>
      <c r="C19" s="5" t="str">
        <f ca="1">IFERROR(__xludf.DUMMYFUNCTION("REGEXEXTRACT($B19, $E$2)"),"alfred")</f>
        <v>alfred</v>
      </c>
      <c r="E19" s="4"/>
      <c r="F19" s="4"/>
      <c r="G19" s="4"/>
      <c r="H19" s="4"/>
      <c r="I19" s="4"/>
      <c r="J19" s="4"/>
      <c r="K19" s="4"/>
      <c r="L19" s="4"/>
      <c r="M19" s="4"/>
      <c r="N19" s="4"/>
      <c r="O19" s="4"/>
      <c r="P19" s="4"/>
      <c r="Q19" s="4"/>
      <c r="R19" s="4"/>
      <c r="S19" s="4"/>
      <c r="T19" s="4"/>
      <c r="U19" s="4"/>
      <c r="V19" s="4"/>
      <c r="W19" s="4"/>
      <c r="X19" s="4"/>
      <c r="Y19" s="4"/>
      <c r="Z19" s="4"/>
    </row>
    <row r="20" spans="1:26" ht="15.75" customHeight="1" x14ac:dyDescent="0.2">
      <c r="A20" s="1" t="s">
        <v>41</v>
      </c>
      <c r="B20" s="1" t="s">
        <v>42</v>
      </c>
      <c r="C20" s="5" t="str">
        <f ca="1">IFERROR(__xludf.DUMMYFUNCTION("REGEXEXTRACT($B20, $E$2)"),"alc")</f>
        <v>alc</v>
      </c>
      <c r="E20" s="4"/>
      <c r="F20" s="4"/>
      <c r="G20" s="4"/>
      <c r="H20" s="4"/>
      <c r="I20" s="4"/>
      <c r="J20" s="4"/>
      <c r="K20" s="4"/>
      <c r="L20" s="4"/>
      <c r="M20" s="4"/>
      <c r="N20" s="4"/>
      <c r="O20" s="4"/>
      <c r="P20" s="4"/>
      <c r="Q20" s="4"/>
      <c r="R20" s="4"/>
      <c r="S20" s="4"/>
      <c r="T20" s="4"/>
      <c r="U20" s="4"/>
      <c r="V20" s="4"/>
      <c r="W20" s="4"/>
      <c r="X20" s="4"/>
      <c r="Y20" s="4"/>
      <c r="Z20" s="4"/>
    </row>
    <row r="21" spans="1:26" ht="15.75" customHeight="1" x14ac:dyDescent="0.2">
      <c r="A21" s="1" t="s">
        <v>43</v>
      </c>
      <c r="B21" s="1" t="s">
        <v>44</v>
      </c>
      <c r="C21" s="5" t="str">
        <f ca="1">IFERROR(__xludf.DUMMYFUNCTION("REGEXEXTRACT($B21, $E$2)"),"allegheny")</f>
        <v>allegheny</v>
      </c>
      <c r="E21" s="4"/>
      <c r="F21" s="4"/>
      <c r="G21" s="4"/>
      <c r="H21" s="4"/>
      <c r="I21" s="4"/>
      <c r="J21" s="4"/>
      <c r="K21" s="4"/>
      <c r="L21" s="4"/>
      <c r="M21" s="4"/>
      <c r="N21" s="4"/>
      <c r="O21" s="4"/>
      <c r="P21" s="4"/>
      <c r="Q21" s="4"/>
      <c r="R21" s="4"/>
      <c r="S21" s="4"/>
      <c r="T21" s="4"/>
      <c r="U21" s="4"/>
      <c r="V21" s="4"/>
      <c r="W21" s="4"/>
      <c r="X21" s="4"/>
      <c r="Y21" s="4"/>
      <c r="Z21" s="4"/>
    </row>
    <row r="22" spans="1:26" ht="15.75" customHeight="1" x14ac:dyDescent="0.2">
      <c r="A22" s="1" t="s">
        <v>45</v>
      </c>
      <c r="B22" s="1" t="s">
        <v>46</v>
      </c>
      <c r="C22" s="5" t="str">
        <f ca="1">IFERROR(__xludf.DUMMYFUNCTION("REGEXEXTRACT($B22, $E$2)"),"allencollege")</f>
        <v>allencollege</v>
      </c>
      <c r="E22" s="4"/>
      <c r="F22" s="4"/>
      <c r="G22" s="4"/>
      <c r="H22" s="4"/>
      <c r="I22" s="4"/>
      <c r="J22" s="4"/>
      <c r="K22" s="4"/>
      <c r="L22" s="4"/>
      <c r="M22" s="4"/>
      <c r="N22" s="4"/>
      <c r="O22" s="4"/>
      <c r="P22" s="4"/>
      <c r="Q22" s="4"/>
      <c r="R22" s="4"/>
      <c r="S22" s="4"/>
      <c r="T22" s="4"/>
      <c r="U22" s="4"/>
      <c r="V22" s="4"/>
      <c r="W22" s="4"/>
      <c r="X22" s="4"/>
      <c r="Y22" s="4"/>
      <c r="Z22" s="4"/>
    </row>
    <row r="23" spans="1:26" ht="15.75" customHeight="1" x14ac:dyDescent="0.2">
      <c r="A23" s="1" t="s">
        <v>47</v>
      </c>
      <c r="B23" s="1" t="s">
        <v>48</v>
      </c>
      <c r="C23" s="5" t="str">
        <f ca="1">IFERROR(__xludf.DUMMYFUNCTION("REGEXEXTRACT($B23, $E$2)"),"allenuniversity")</f>
        <v>allenuniversity</v>
      </c>
      <c r="E23" s="4"/>
      <c r="F23" s="4"/>
      <c r="G23" s="4"/>
      <c r="H23" s="4"/>
      <c r="I23" s="4"/>
      <c r="J23" s="4"/>
      <c r="K23" s="4"/>
      <c r="L23" s="4"/>
      <c r="M23" s="4"/>
      <c r="N23" s="4"/>
      <c r="O23" s="4"/>
      <c r="P23" s="4"/>
      <c r="Q23" s="4"/>
      <c r="R23" s="4"/>
      <c r="S23" s="4"/>
      <c r="T23" s="4"/>
      <c r="U23" s="4"/>
      <c r="V23" s="4"/>
      <c r="W23" s="4"/>
      <c r="X23" s="4"/>
      <c r="Y23" s="4"/>
      <c r="Z23" s="4"/>
    </row>
    <row r="24" spans="1:26" ht="15.75" customHeight="1" x14ac:dyDescent="0.2">
      <c r="A24" s="1" t="s">
        <v>49</v>
      </c>
      <c r="B24" s="1" t="s">
        <v>50</v>
      </c>
      <c r="C24" s="5" t="str">
        <f ca="1">IFERROR(__xludf.DUMMYFUNCTION("REGEXEXTRACT($B24, $E$2)"),"alma")</f>
        <v>alma</v>
      </c>
      <c r="E24" s="4"/>
      <c r="F24" s="4"/>
      <c r="G24" s="4"/>
      <c r="H24" s="4"/>
      <c r="I24" s="4"/>
      <c r="J24" s="4"/>
      <c r="K24" s="4"/>
      <c r="L24" s="4"/>
      <c r="M24" s="4"/>
      <c r="N24" s="4"/>
      <c r="O24" s="4"/>
      <c r="P24" s="4"/>
      <c r="Q24" s="4"/>
      <c r="R24" s="4"/>
      <c r="S24" s="4"/>
      <c r="T24" s="4"/>
      <c r="U24" s="4"/>
      <c r="V24" s="4"/>
      <c r="W24" s="4"/>
      <c r="X24" s="4"/>
      <c r="Y24" s="4"/>
      <c r="Z24" s="4"/>
    </row>
    <row r="25" spans="1:26" ht="15.75" customHeight="1" x14ac:dyDescent="0.2">
      <c r="A25" s="1" t="s">
        <v>51</v>
      </c>
      <c r="B25" s="1" t="s">
        <v>52</v>
      </c>
      <c r="C25" s="5" t="str">
        <f ca="1">IFERROR(__xludf.DUMMYFUNCTION("REGEXEXTRACT($B25, $E$2)"),"alvernia")</f>
        <v>alvernia</v>
      </c>
      <c r="E25" s="4"/>
      <c r="F25" s="4"/>
      <c r="G25" s="4"/>
      <c r="H25" s="4"/>
      <c r="I25" s="4"/>
      <c r="J25" s="4"/>
      <c r="K25" s="4"/>
      <c r="L25" s="4"/>
      <c r="M25" s="4"/>
      <c r="N25" s="4"/>
      <c r="O25" s="4"/>
      <c r="P25" s="4"/>
      <c r="Q25" s="4"/>
      <c r="R25" s="4"/>
      <c r="S25" s="4"/>
      <c r="T25" s="4"/>
      <c r="U25" s="4"/>
      <c r="V25" s="4"/>
      <c r="W25" s="4"/>
      <c r="X25" s="4"/>
      <c r="Y25" s="4"/>
      <c r="Z25" s="4"/>
    </row>
    <row r="26" spans="1:26" ht="15.75" customHeight="1" x14ac:dyDescent="0.2">
      <c r="A26" s="1" t="s">
        <v>53</v>
      </c>
      <c r="B26" s="1" t="s">
        <v>54</v>
      </c>
      <c r="C26" s="5" t="str">
        <f ca="1">IFERROR(__xludf.DUMMYFUNCTION("REGEXEXTRACT($B26, $E$2)"),"alverno")</f>
        <v>alverno</v>
      </c>
      <c r="E26" s="4"/>
      <c r="F26" s="4"/>
      <c r="G26" s="4"/>
      <c r="H26" s="4"/>
      <c r="I26" s="4"/>
      <c r="J26" s="4"/>
      <c r="K26" s="4"/>
      <c r="L26" s="4"/>
      <c r="M26" s="4"/>
      <c r="N26" s="4"/>
      <c r="O26" s="4"/>
      <c r="P26" s="4"/>
      <c r="Q26" s="4"/>
      <c r="R26" s="4"/>
      <c r="S26" s="4"/>
      <c r="T26" s="4"/>
      <c r="U26" s="4"/>
      <c r="V26" s="4"/>
      <c r="W26" s="4"/>
      <c r="X26" s="4"/>
      <c r="Y26" s="4"/>
      <c r="Z26" s="4"/>
    </row>
    <row r="27" spans="1:26" ht="15.75" customHeight="1" x14ac:dyDescent="0.2">
      <c r="A27" s="1" t="s">
        <v>55</v>
      </c>
      <c r="B27" s="1" t="s">
        <v>56</v>
      </c>
      <c r="C27" s="5" t="str">
        <f ca="1">IFERROR(__xludf.DUMMYFUNCTION("REGEXEXTRACT($B27, $E$2)"),"abcnash")</f>
        <v>abcnash</v>
      </c>
      <c r="E27" s="4"/>
      <c r="F27" s="4"/>
      <c r="G27" s="4"/>
      <c r="H27" s="4"/>
      <c r="I27" s="4"/>
      <c r="J27" s="4"/>
      <c r="K27" s="4"/>
      <c r="L27" s="4"/>
      <c r="M27" s="4"/>
      <c r="N27" s="4"/>
      <c r="O27" s="4"/>
      <c r="P27" s="4"/>
      <c r="Q27" s="4"/>
      <c r="R27" s="4"/>
      <c r="S27" s="4"/>
      <c r="T27" s="4"/>
      <c r="U27" s="4"/>
      <c r="V27" s="4"/>
      <c r="W27" s="4"/>
      <c r="X27" s="4"/>
      <c r="Y27" s="4"/>
      <c r="Z27" s="4"/>
    </row>
    <row r="28" spans="1:26" ht="15.75" customHeight="1" x14ac:dyDescent="0.2">
      <c r="A28" s="1" t="s">
        <v>57</v>
      </c>
      <c r="B28" s="1" t="s">
        <v>58</v>
      </c>
      <c r="C28" s="5" t="str">
        <f ca="1">IFERROR(__xludf.DUMMYFUNCTION("REGEXEXTRACT($B28, $E$2)"),"aic")</f>
        <v>aic</v>
      </c>
      <c r="E28" s="4"/>
      <c r="F28" s="4"/>
      <c r="G28" s="4"/>
      <c r="H28" s="4"/>
      <c r="I28" s="4"/>
      <c r="J28" s="4"/>
      <c r="K28" s="4"/>
      <c r="L28" s="4"/>
      <c r="M28" s="4"/>
      <c r="N28" s="4"/>
      <c r="O28" s="4"/>
      <c r="P28" s="4"/>
      <c r="Q28" s="4"/>
      <c r="R28" s="4"/>
      <c r="S28" s="4"/>
      <c r="T28" s="4"/>
      <c r="U28" s="4"/>
      <c r="V28" s="4"/>
      <c r="W28" s="4"/>
      <c r="X28" s="4"/>
      <c r="Y28" s="4"/>
      <c r="Z28" s="4"/>
    </row>
    <row r="29" spans="1:26" ht="15.75" customHeight="1" x14ac:dyDescent="0.2">
      <c r="A29" s="1" t="s">
        <v>59</v>
      </c>
      <c r="B29" s="1" t="s">
        <v>60</v>
      </c>
      <c r="C29" s="5" t="str">
        <f ca="1">IFERROR(__xludf.DUMMYFUNCTION("REGEXEXTRACT($B29, $E$2)"),"aju")</f>
        <v>aju</v>
      </c>
      <c r="E29" s="4"/>
      <c r="F29" s="4"/>
      <c r="G29" s="4"/>
      <c r="H29" s="4"/>
      <c r="I29" s="4"/>
      <c r="J29" s="4"/>
      <c r="K29" s="4"/>
      <c r="L29" s="4"/>
      <c r="M29" s="4"/>
      <c r="N29" s="4"/>
      <c r="O29" s="4"/>
      <c r="P29" s="4"/>
      <c r="Q29" s="4"/>
      <c r="R29" s="4"/>
      <c r="S29" s="4"/>
      <c r="T29" s="4"/>
      <c r="U29" s="4"/>
      <c r="V29" s="4"/>
      <c r="W29" s="4"/>
      <c r="X29" s="4"/>
      <c r="Y29" s="4"/>
      <c r="Z29" s="4"/>
    </row>
    <row r="30" spans="1:26" ht="15.75" customHeight="1" x14ac:dyDescent="0.2">
      <c r="A30" s="1" t="s">
        <v>61</v>
      </c>
      <c r="B30" s="1" t="s">
        <v>62</v>
      </c>
      <c r="C30" s="5" t="str">
        <f ca="1">IFERROR(__xludf.DUMMYFUNCTION("REGEXEXTRACT($B30, $E$2)"),"american")</f>
        <v>american</v>
      </c>
      <c r="E30" s="4"/>
      <c r="F30" s="4"/>
      <c r="G30" s="4"/>
      <c r="H30" s="4"/>
      <c r="I30" s="4"/>
      <c r="J30" s="4"/>
      <c r="K30" s="4"/>
      <c r="L30" s="4"/>
      <c r="M30" s="4"/>
      <c r="N30" s="4"/>
      <c r="O30" s="4"/>
      <c r="P30" s="4"/>
      <c r="Q30" s="4"/>
      <c r="R30" s="4"/>
      <c r="S30" s="4"/>
      <c r="T30" s="4"/>
      <c r="U30" s="4"/>
      <c r="V30" s="4"/>
      <c r="W30" s="4"/>
      <c r="X30" s="4"/>
      <c r="Y30" s="4"/>
      <c r="Z30" s="4"/>
    </row>
    <row r="31" spans="1:26" ht="15.75" customHeight="1" x14ac:dyDescent="0.2">
      <c r="A31" s="1" t="s">
        <v>63</v>
      </c>
      <c r="B31" s="1" t="s">
        <v>64</v>
      </c>
      <c r="C31" s="5" t="str">
        <f ca="1">IFERROR(__xludf.DUMMYFUNCTION("REGEXEXTRACT($B31, $E$2)"),"aub")</f>
        <v>aub</v>
      </c>
      <c r="E31" s="4"/>
      <c r="F31" s="4"/>
      <c r="G31" s="4"/>
      <c r="H31" s="4"/>
      <c r="I31" s="4"/>
      <c r="J31" s="4"/>
      <c r="K31" s="4"/>
      <c r="L31" s="4"/>
      <c r="M31" s="4"/>
      <c r="N31" s="4"/>
      <c r="O31" s="4"/>
      <c r="P31" s="4"/>
      <c r="Q31" s="4"/>
      <c r="R31" s="4"/>
      <c r="S31" s="4"/>
      <c r="T31" s="4"/>
      <c r="U31" s="4"/>
      <c r="V31" s="4"/>
      <c r="W31" s="4"/>
      <c r="X31" s="4"/>
      <c r="Y31" s="4"/>
      <c r="Z31" s="4"/>
    </row>
    <row r="32" spans="1:26" ht="15.75" customHeight="1" x14ac:dyDescent="0.2">
      <c r="A32" s="1" t="s">
        <v>65</v>
      </c>
      <c r="B32" s="1" t="s">
        <v>66</v>
      </c>
      <c r="C32" s="5" t="str">
        <f ca="1">IFERROR(__xludf.DUMMYFUNCTION("REGEXEXTRACT($B32, $E$2)"),"aubg")</f>
        <v>aubg</v>
      </c>
      <c r="E32" s="4"/>
      <c r="F32" s="4"/>
      <c r="G32" s="4"/>
      <c r="H32" s="4"/>
      <c r="I32" s="4"/>
      <c r="J32" s="4"/>
      <c r="K32" s="4"/>
      <c r="L32" s="4"/>
      <c r="M32" s="4"/>
      <c r="N32" s="4"/>
      <c r="O32" s="4"/>
      <c r="P32" s="4"/>
      <c r="Q32" s="4"/>
      <c r="R32" s="4"/>
      <c r="S32" s="4"/>
      <c r="T32" s="4"/>
      <c r="U32" s="4"/>
      <c r="V32" s="4"/>
      <c r="W32" s="4"/>
      <c r="X32" s="4"/>
      <c r="Y32" s="4"/>
      <c r="Z32" s="4"/>
    </row>
    <row r="33" spans="1:26" ht="15.75" customHeight="1" x14ac:dyDescent="0.2">
      <c r="A33" s="1" t="s">
        <v>67</v>
      </c>
      <c r="B33" s="1" t="s">
        <v>68</v>
      </c>
      <c r="C33" s="5" t="str">
        <f ca="1">IFERROR(__xludf.DUMMYFUNCTION("REGEXEXTRACT($B33, $E$2)"),"aup")</f>
        <v>aup</v>
      </c>
      <c r="E33" s="4"/>
      <c r="F33" s="4"/>
      <c r="G33" s="4"/>
      <c r="H33" s="4"/>
      <c r="I33" s="4"/>
      <c r="J33" s="4"/>
      <c r="K33" s="4"/>
      <c r="L33" s="4"/>
      <c r="M33" s="4"/>
      <c r="N33" s="4"/>
      <c r="O33" s="4"/>
      <c r="P33" s="4"/>
      <c r="Q33" s="4"/>
      <c r="R33" s="4"/>
      <c r="S33" s="4"/>
      <c r="T33" s="4"/>
      <c r="U33" s="4"/>
      <c r="V33" s="4"/>
      <c r="W33" s="4"/>
      <c r="X33" s="4"/>
      <c r="Y33" s="4"/>
      <c r="Z33" s="4"/>
    </row>
    <row r="34" spans="1:26" ht="15.75" customHeight="1" x14ac:dyDescent="0.2">
      <c r="A34" s="1" t="s">
        <v>69</v>
      </c>
      <c r="B34" s="1" t="s">
        <v>70</v>
      </c>
      <c r="C34" s="5" t="str">
        <f ca="1">IFERROR(__xludf.DUMMYFUNCTION("REGEXEXTRACT($B34, $E$2)"),"aur")</f>
        <v>aur</v>
      </c>
      <c r="E34" s="4"/>
      <c r="F34" s="4"/>
      <c r="G34" s="4"/>
      <c r="H34" s="4"/>
      <c r="I34" s="4"/>
      <c r="J34" s="4"/>
      <c r="K34" s="4"/>
      <c r="L34" s="4"/>
      <c r="M34" s="4"/>
      <c r="N34" s="4"/>
      <c r="O34" s="4"/>
      <c r="P34" s="4"/>
      <c r="Q34" s="4"/>
      <c r="R34" s="4"/>
      <c r="S34" s="4"/>
      <c r="T34" s="4"/>
      <c r="U34" s="4"/>
      <c r="V34" s="4"/>
      <c r="W34" s="4"/>
      <c r="X34" s="4"/>
      <c r="Y34" s="4"/>
      <c r="Z34" s="4"/>
    </row>
    <row r="35" spans="1:26" ht="15.75" customHeight="1" x14ac:dyDescent="0.2">
      <c r="A35" s="1" t="s">
        <v>71</v>
      </c>
      <c r="B35" s="1" t="s">
        <v>72</v>
      </c>
      <c r="C35" s="5" t="str">
        <f ca="1">IFERROR(__xludf.DUMMYFUNCTION("REGEXEXTRACT($B35, $E$2)"),"amherst")</f>
        <v>amherst</v>
      </c>
      <c r="E35" s="4"/>
      <c r="F35" s="4"/>
      <c r="G35" s="4"/>
      <c r="H35" s="4"/>
      <c r="I35" s="4"/>
      <c r="J35" s="4"/>
      <c r="K35" s="4"/>
      <c r="L35" s="4"/>
      <c r="M35" s="4"/>
      <c r="N35" s="4"/>
      <c r="O35" s="4"/>
      <c r="P35" s="4"/>
      <c r="Q35" s="4"/>
      <c r="R35" s="4"/>
      <c r="S35" s="4"/>
      <c r="T35" s="4"/>
      <c r="U35" s="4"/>
      <c r="V35" s="4"/>
      <c r="W35" s="4"/>
      <c r="X35" s="4"/>
      <c r="Y35" s="4"/>
      <c r="Z35" s="4"/>
    </row>
    <row r="36" spans="1:26" ht="15.75" customHeight="1" x14ac:dyDescent="0.2">
      <c r="A36" s="1" t="s">
        <v>73</v>
      </c>
      <c r="B36" s="1" t="s">
        <v>74</v>
      </c>
      <c r="C36" s="5" t="str">
        <f ca="1">IFERROR(__xludf.DUMMYFUNCTION("REGEXEXTRACT($B36, $E$2)"),"anderson")</f>
        <v>anderson</v>
      </c>
      <c r="E36" s="4"/>
      <c r="F36" s="4"/>
      <c r="G36" s="4"/>
      <c r="H36" s="4"/>
      <c r="I36" s="4"/>
      <c r="J36" s="4"/>
      <c r="K36" s="4"/>
      <c r="L36" s="4"/>
      <c r="M36" s="4"/>
      <c r="N36" s="4"/>
      <c r="O36" s="4"/>
      <c r="P36" s="4"/>
      <c r="Q36" s="4"/>
      <c r="R36" s="4"/>
      <c r="S36" s="4"/>
      <c r="T36" s="4"/>
      <c r="U36" s="4"/>
      <c r="V36" s="4"/>
      <c r="W36" s="4"/>
      <c r="X36" s="4"/>
      <c r="Y36" s="4"/>
      <c r="Z36" s="4"/>
    </row>
    <row r="37" spans="1:26" ht="15.75" customHeight="1" x14ac:dyDescent="0.2">
      <c r="A37" s="1" t="s">
        <v>75</v>
      </c>
      <c r="B37" s="1" t="s">
        <v>76</v>
      </c>
      <c r="C37" s="5" t="str">
        <f ca="1">IFERROR(__xludf.DUMMYFUNCTION("REGEXEXTRACT($B37, $E$2)"),"andrews")</f>
        <v>andrews</v>
      </c>
      <c r="E37" s="4"/>
      <c r="F37" s="4"/>
      <c r="G37" s="4"/>
      <c r="H37" s="4"/>
      <c r="I37" s="4"/>
      <c r="J37" s="4"/>
      <c r="K37" s="4"/>
      <c r="L37" s="4"/>
      <c r="M37" s="4"/>
      <c r="N37" s="4"/>
      <c r="O37" s="4"/>
      <c r="P37" s="4"/>
      <c r="Q37" s="4"/>
      <c r="R37" s="4"/>
      <c r="S37" s="4"/>
      <c r="T37" s="4"/>
      <c r="U37" s="4"/>
      <c r="V37" s="4"/>
      <c r="W37" s="4"/>
      <c r="X37" s="4"/>
      <c r="Y37" s="4"/>
      <c r="Z37" s="4"/>
    </row>
    <row r="38" spans="1:26" ht="15.75" customHeight="1" x14ac:dyDescent="0.2">
      <c r="A38" s="1" t="s">
        <v>77</v>
      </c>
      <c r="B38" s="1" t="s">
        <v>78</v>
      </c>
      <c r="C38" s="5" t="str">
        <f ca="1">IFERROR(__xludf.DUMMYFUNCTION("REGEXEXTRACT($B38, $E$2)"),"angelo")</f>
        <v>angelo</v>
      </c>
      <c r="E38" s="4"/>
      <c r="F38" s="4"/>
      <c r="G38" s="4"/>
      <c r="H38" s="4"/>
      <c r="I38" s="4"/>
      <c r="J38" s="4"/>
      <c r="K38" s="4"/>
      <c r="L38" s="4"/>
      <c r="M38" s="4"/>
      <c r="N38" s="4"/>
      <c r="O38" s="4"/>
      <c r="P38" s="4"/>
      <c r="Q38" s="4"/>
      <c r="R38" s="4"/>
      <c r="S38" s="4"/>
      <c r="T38" s="4"/>
      <c r="U38" s="4"/>
      <c r="V38" s="4"/>
      <c r="W38" s="4"/>
      <c r="X38" s="4"/>
      <c r="Y38" s="4"/>
      <c r="Z38" s="4"/>
    </row>
    <row r="39" spans="1:26" ht="15.75" customHeight="1" x14ac:dyDescent="0.2">
      <c r="A39" s="1" t="s">
        <v>79</v>
      </c>
      <c r="B39" s="1" t="s">
        <v>80</v>
      </c>
      <c r="C39" s="5" t="str">
        <f ca="1">IFERROR(__xludf.DUMMYFUNCTION("REGEXEXTRACT($B39, $E$2)"),"annamaria")</f>
        <v>annamaria</v>
      </c>
      <c r="E39" s="4"/>
      <c r="F39" s="4"/>
      <c r="G39" s="4"/>
      <c r="H39" s="4"/>
      <c r="I39" s="4"/>
      <c r="J39" s="4"/>
      <c r="K39" s="4"/>
      <c r="L39" s="4"/>
      <c r="M39" s="4"/>
      <c r="N39" s="4"/>
      <c r="O39" s="4"/>
      <c r="P39" s="4"/>
      <c r="Q39" s="4"/>
      <c r="R39" s="4"/>
      <c r="S39" s="4"/>
      <c r="T39" s="4"/>
      <c r="U39" s="4"/>
      <c r="V39" s="4"/>
      <c r="W39" s="4"/>
      <c r="X39" s="4"/>
      <c r="Y39" s="4"/>
      <c r="Z39" s="4"/>
    </row>
    <row r="40" spans="1:26" ht="15.75" customHeight="1" x14ac:dyDescent="0.2">
      <c r="A40" s="1" t="s">
        <v>81</v>
      </c>
      <c r="B40" s="1" t="s">
        <v>82</v>
      </c>
      <c r="C40" s="5" t="str">
        <f ca="1">IFERROR(__xludf.DUMMYFUNCTION("REGEXEXTRACT($B40, $E$2)"),"antiochcollege")</f>
        <v>antiochcollege</v>
      </c>
      <c r="E40" s="4"/>
      <c r="F40" s="4"/>
      <c r="G40" s="4"/>
      <c r="H40" s="4"/>
      <c r="I40" s="4"/>
      <c r="J40" s="4"/>
      <c r="K40" s="4"/>
      <c r="L40" s="4"/>
      <c r="M40" s="4"/>
      <c r="N40" s="4"/>
      <c r="O40" s="4"/>
      <c r="P40" s="4"/>
      <c r="Q40" s="4"/>
      <c r="R40" s="4"/>
      <c r="S40" s="4"/>
      <c r="T40" s="4"/>
      <c r="U40" s="4"/>
      <c r="V40" s="4"/>
      <c r="W40" s="4"/>
      <c r="X40" s="4"/>
      <c r="Y40" s="4"/>
      <c r="Z40" s="4"/>
    </row>
    <row r="41" spans="1:26" ht="15.75" customHeight="1" x14ac:dyDescent="0.2">
      <c r="A41" s="1" t="s">
        <v>83</v>
      </c>
      <c r="B41" s="1" t="s">
        <v>84</v>
      </c>
      <c r="C41" s="5" t="str">
        <f ca="1">IFERROR(__xludf.DUMMYFUNCTION("REGEXEXTRACT($B41, $E$2)"),"abc")</f>
        <v>abc</v>
      </c>
      <c r="E41" s="4"/>
      <c r="F41" s="4"/>
      <c r="G41" s="4"/>
      <c r="H41" s="4"/>
      <c r="I41" s="4"/>
      <c r="J41" s="4"/>
      <c r="K41" s="4"/>
      <c r="L41" s="4"/>
      <c r="M41" s="4"/>
      <c r="N41" s="4"/>
      <c r="O41" s="4"/>
      <c r="P41" s="4"/>
      <c r="Q41" s="4"/>
      <c r="R41" s="4"/>
      <c r="S41" s="4"/>
      <c r="T41" s="4"/>
      <c r="U41" s="4"/>
      <c r="V41" s="4"/>
      <c r="W41" s="4"/>
      <c r="X41" s="4"/>
      <c r="Y41" s="4"/>
      <c r="Z41" s="4"/>
    </row>
    <row r="42" spans="1:26" ht="15.75" customHeight="1" x14ac:dyDescent="0.2">
      <c r="A42" s="1" t="s">
        <v>85</v>
      </c>
      <c r="B42" s="1" t="s">
        <v>86</v>
      </c>
      <c r="C42" s="5" t="str">
        <f ca="1">IFERROR(__xludf.DUMMYFUNCTION("REGEXEXTRACT($B42, $E$2)"),"appstate")</f>
        <v>appstate</v>
      </c>
      <c r="E42" s="4"/>
      <c r="F42" s="4"/>
      <c r="G42" s="4"/>
      <c r="H42" s="4"/>
      <c r="I42" s="4"/>
      <c r="J42" s="4"/>
      <c r="K42" s="4"/>
      <c r="L42" s="4"/>
      <c r="M42" s="4"/>
      <c r="N42" s="4"/>
      <c r="O42" s="4"/>
      <c r="P42" s="4"/>
      <c r="Q42" s="4"/>
      <c r="R42" s="4"/>
      <c r="S42" s="4"/>
      <c r="T42" s="4"/>
      <c r="U42" s="4"/>
      <c r="V42" s="4"/>
      <c r="W42" s="4"/>
      <c r="X42" s="4"/>
      <c r="Y42" s="4"/>
      <c r="Z42" s="4"/>
    </row>
    <row r="43" spans="1:26" ht="15.75" customHeight="1" x14ac:dyDescent="0.2">
      <c r="A43" s="1" t="s">
        <v>87</v>
      </c>
      <c r="B43" s="1" t="s">
        <v>88</v>
      </c>
      <c r="C43" s="5" t="str">
        <f ca="1">IFERROR(__xludf.DUMMYFUNCTION("REGEXEXTRACT($B43, $E$2)"),"aquinas")</f>
        <v>aquinas</v>
      </c>
      <c r="E43" s="4"/>
      <c r="F43" s="4"/>
      <c r="G43" s="4"/>
      <c r="H43" s="4"/>
      <c r="I43" s="4"/>
      <c r="J43" s="4"/>
      <c r="K43" s="4"/>
      <c r="L43" s="4"/>
      <c r="M43" s="4"/>
      <c r="N43" s="4"/>
      <c r="O43" s="4"/>
      <c r="P43" s="4"/>
      <c r="Q43" s="4"/>
      <c r="R43" s="4"/>
      <c r="S43" s="4"/>
      <c r="T43" s="4"/>
      <c r="U43" s="4"/>
      <c r="V43" s="4"/>
      <c r="W43" s="4"/>
      <c r="X43" s="4"/>
      <c r="Y43" s="4"/>
      <c r="Z43" s="4"/>
    </row>
    <row r="44" spans="1:26" ht="15.75" customHeight="1" x14ac:dyDescent="0.2">
      <c r="A44" s="1" t="s">
        <v>87</v>
      </c>
      <c r="B44" s="1" t="s">
        <v>89</v>
      </c>
      <c r="C44" s="5" t="str">
        <f ca="1">IFERROR(__xludf.DUMMYFUNCTION("REGEXEXTRACT($B44, $E$2)"),"aquinascollege")</f>
        <v>aquinascollege</v>
      </c>
      <c r="E44" s="4"/>
      <c r="F44" s="4"/>
      <c r="G44" s="4"/>
      <c r="H44" s="4"/>
      <c r="I44" s="4"/>
      <c r="J44" s="4"/>
      <c r="K44" s="4"/>
      <c r="L44" s="4"/>
      <c r="M44" s="4"/>
      <c r="N44" s="4"/>
      <c r="O44" s="4"/>
      <c r="P44" s="4"/>
      <c r="Q44" s="4"/>
      <c r="R44" s="4"/>
      <c r="S44" s="4"/>
      <c r="T44" s="4"/>
      <c r="U44" s="4"/>
      <c r="V44" s="4"/>
      <c r="W44" s="4"/>
      <c r="X44" s="4"/>
      <c r="Y44" s="4"/>
      <c r="Z44" s="4"/>
    </row>
    <row r="45" spans="1:26" ht="15.75" customHeight="1" x14ac:dyDescent="0.2">
      <c r="A45" s="1" t="s">
        <v>90</v>
      </c>
      <c r="B45" s="1" t="s">
        <v>91</v>
      </c>
      <c r="C45" s="5" t="str">
        <f ca="1">IFERROR(__xludf.DUMMYFUNCTION("REGEXEXTRACT($B45, $E$2)"),"arcadia")</f>
        <v>arcadia</v>
      </c>
      <c r="E45" s="4"/>
      <c r="F45" s="4"/>
      <c r="G45" s="4"/>
      <c r="H45" s="4"/>
      <c r="I45" s="4"/>
      <c r="J45" s="4"/>
      <c r="K45" s="4"/>
      <c r="L45" s="4"/>
      <c r="M45" s="4"/>
      <c r="N45" s="4"/>
      <c r="O45" s="4"/>
      <c r="P45" s="4"/>
      <c r="Q45" s="4"/>
      <c r="R45" s="4"/>
      <c r="S45" s="4"/>
      <c r="T45" s="4"/>
      <c r="U45" s="4"/>
      <c r="V45" s="4"/>
      <c r="W45" s="4"/>
      <c r="X45" s="4"/>
      <c r="Y45" s="4"/>
      <c r="Z45" s="4"/>
    </row>
    <row r="46" spans="1:26" ht="15.75" customHeight="1" x14ac:dyDescent="0.2">
      <c r="A46" s="1" t="s">
        <v>92</v>
      </c>
      <c r="B46" s="1" t="s">
        <v>93</v>
      </c>
      <c r="C46" s="5" t="str">
        <f ca="1">IFERROR(__xludf.DUMMYFUNCTION("REGEXEXTRACT($B46, $E$2)"),"arizonachristian")</f>
        <v>arizonachristian</v>
      </c>
      <c r="E46" s="4"/>
      <c r="F46" s="4"/>
      <c r="G46" s="4"/>
      <c r="H46" s="4"/>
      <c r="I46" s="4"/>
      <c r="J46" s="4"/>
      <c r="K46" s="4"/>
      <c r="L46" s="4"/>
      <c r="M46" s="4"/>
      <c r="N46" s="4"/>
      <c r="O46" s="4"/>
      <c r="P46" s="4"/>
      <c r="Q46" s="4"/>
      <c r="R46" s="4"/>
      <c r="S46" s="4"/>
      <c r="T46" s="4"/>
      <c r="U46" s="4"/>
      <c r="V46" s="4"/>
      <c r="W46" s="4"/>
      <c r="X46" s="4"/>
      <c r="Y46" s="4"/>
      <c r="Z46" s="4"/>
    </row>
    <row r="47" spans="1:26" ht="15.75" customHeight="1" x14ac:dyDescent="0.2">
      <c r="A47" s="1" t="s">
        <v>94</v>
      </c>
      <c r="B47" s="1" t="s">
        <v>95</v>
      </c>
      <c r="C47" s="5" t="str">
        <f ca="1">IFERROR(__xludf.DUMMYFUNCTION("REGEXEXTRACT($B47, $E$2)"),"asu")</f>
        <v>asu</v>
      </c>
      <c r="E47" s="4"/>
      <c r="F47" s="4"/>
      <c r="G47" s="4"/>
      <c r="H47" s="4"/>
      <c r="I47" s="4"/>
      <c r="J47" s="4"/>
      <c r="K47" s="4"/>
      <c r="L47" s="4"/>
      <c r="M47" s="4"/>
      <c r="N47" s="4"/>
      <c r="O47" s="4"/>
      <c r="P47" s="4"/>
      <c r="Q47" s="4"/>
      <c r="R47" s="4"/>
      <c r="S47" s="4"/>
      <c r="T47" s="4"/>
      <c r="U47" s="4"/>
      <c r="V47" s="4"/>
      <c r="W47" s="4"/>
      <c r="X47" s="4"/>
      <c r="Y47" s="4"/>
      <c r="Z47" s="4"/>
    </row>
    <row r="48" spans="1:26" ht="15.75" customHeight="1" x14ac:dyDescent="0.2">
      <c r="A48" s="1" t="s">
        <v>96</v>
      </c>
      <c r="B48" s="1" t="s">
        <v>97</v>
      </c>
      <c r="C48" s="5" t="str">
        <f ca="1">IFERROR(__xludf.DUMMYFUNCTION("REGEXEXTRACT($B48, $E$2)"),"arkansasbaptist")</f>
        <v>arkansasbaptist</v>
      </c>
      <c r="E48" s="4"/>
      <c r="F48" s="4"/>
      <c r="G48" s="4"/>
      <c r="H48" s="4"/>
      <c r="I48" s="4"/>
      <c r="J48" s="4"/>
      <c r="K48" s="4"/>
      <c r="L48" s="4"/>
      <c r="M48" s="4"/>
      <c r="N48" s="4"/>
      <c r="O48" s="4"/>
      <c r="P48" s="4"/>
      <c r="Q48" s="4"/>
      <c r="R48" s="4"/>
      <c r="S48" s="4"/>
      <c r="T48" s="4"/>
      <c r="U48" s="4"/>
      <c r="V48" s="4"/>
      <c r="W48" s="4"/>
      <c r="X48" s="4"/>
      <c r="Y48" s="4"/>
      <c r="Z48" s="4"/>
    </row>
    <row r="49" spans="1:26" ht="15.75" customHeight="1" x14ac:dyDescent="0.2">
      <c r="A49" s="1" t="s">
        <v>98</v>
      </c>
      <c r="B49" s="1" t="s">
        <v>99</v>
      </c>
      <c r="C49" s="5" t="str">
        <f ca="1">IFERROR(__xludf.DUMMYFUNCTION("REGEXEXTRACT($B49, $E$2)"),"astate")</f>
        <v>astate</v>
      </c>
      <c r="E49" s="4"/>
      <c r="F49" s="4"/>
      <c r="G49" s="4"/>
      <c r="H49" s="4"/>
      <c r="I49" s="4"/>
      <c r="J49" s="4"/>
      <c r="K49" s="4"/>
      <c r="L49" s="4"/>
      <c r="M49" s="4"/>
      <c r="N49" s="4"/>
      <c r="O49" s="4"/>
      <c r="P49" s="4"/>
      <c r="Q49" s="4"/>
      <c r="R49" s="4"/>
      <c r="S49" s="4"/>
      <c r="T49" s="4"/>
      <c r="U49" s="4"/>
      <c r="V49" s="4"/>
      <c r="W49" s="4"/>
      <c r="X49" s="4"/>
      <c r="Y49" s="4"/>
      <c r="Z49" s="4"/>
    </row>
    <row r="50" spans="1:26" ht="15.75" customHeight="1" x14ac:dyDescent="0.2">
      <c r="A50" s="1" t="s">
        <v>100</v>
      </c>
      <c r="B50" s="1" t="s">
        <v>101</v>
      </c>
      <c r="C50" s="5" t="str">
        <f ca="1">IFERROR(__xludf.DUMMYFUNCTION("REGEXEXTRACT($B50, $E$2)"),"atu")</f>
        <v>atu</v>
      </c>
      <c r="E50" s="4"/>
      <c r="F50" s="4"/>
      <c r="G50" s="4"/>
      <c r="H50" s="4"/>
      <c r="I50" s="4"/>
      <c r="J50" s="4"/>
      <c r="K50" s="4"/>
      <c r="L50" s="4"/>
      <c r="M50" s="4"/>
      <c r="N50" s="4"/>
      <c r="O50" s="4"/>
      <c r="P50" s="4"/>
      <c r="Q50" s="4"/>
      <c r="R50" s="4"/>
      <c r="S50" s="4"/>
      <c r="T50" s="4"/>
      <c r="U50" s="4"/>
      <c r="V50" s="4"/>
      <c r="W50" s="4"/>
      <c r="X50" s="4"/>
      <c r="Y50" s="4"/>
      <c r="Z50" s="4"/>
    </row>
    <row r="51" spans="1:26" ht="15.75" customHeight="1" x14ac:dyDescent="0.2">
      <c r="A51" s="1" t="s">
        <v>102</v>
      </c>
      <c r="B51" s="1" t="s">
        <v>103</v>
      </c>
      <c r="C51" s="5" t="str">
        <f ca="1">IFERROR(__xludf.DUMMYFUNCTION("REGEXEXTRACT($B51, $E$2)"),"arlingtonbaptistcollege")</f>
        <v>arlingtonbaptistcollege</v>
      </c>
      <c r="E51" s="4"/>
      <c r="F51" s="4"/>
      <c r="G51" s="4"/>
      <c r="H51" s="4"/>
      <c r="I51" s="4"/>
      <c r="J51" s="4"/>
      <c r="K51" s="4"/>
      <c r="L51" s="4"/>
      <c r="M51" s="4"/>
      <c r="N51" s="4"/>
      <c r="O51" s="4"/>
      <c r="P51" s="4"/>
      <c r="Q51" s="4"/>
      <c r="R51" s="4"/>
      <c r="S51" s="4"/>
      <c r="T51" s="4"/>
      <c r="U51" s="4"/>
      <c r="V51" s="4"/>
      <c r="W51" s="4"/>
      <c r="X51" s="4"/>
      <c r="Y51" s="4"/>
      <c r="Z51" s="4"/>
    </row>
    <row r="52" spans="1:26" ht="15.75" customHeight="1" x14ac:dyDescent="0.2">
      <c r="A52" s="1" t="s">
        <v>104</v>
      </c>
      <c r="B52" s="1" t="s">
        <v>105</v>
      </c>
      <c r="C52" s="5" t="str">
        <f ca="1">IFERROR(__xludf.DUMMYFUNCTION("REGEXEXTRACT($B52, $E$2)"),"artacademy")</f>
        <v>artacademy</v>
      </c>
      <c r="E52" s="4"/>
      <c r="F52" s="4"/>
      <c r="G52" s="4"/>
      <c r="H52" s="4"/>
      <c r="I52" s="4"/>
      <c r="J52" s="4"/>
      <c r="K52" s="4"/>
      <c r="L52" s="4"/>
      <c r="M52" s="4"/>
      <c r="N52" s="4"/>
      <c r="O52" s="4"/>
      <c r="P52" s="4"/>
      <c r="Q52" s="4"/>
      <c r="R52" s="4"/>
      <c r="S52" s="4"/>
      <c r="T52" s="4"/>
      <c r="U52" s="4"/>
      <c r="V52" s="4"/>
      <c r="W52" s="4"/>
      <c r="X52" s="4"/>
      <c r="Y52" s="4"/>
      <c r="Z52" s="4"/>
    </row>
    <row r="53" spans="1:26" ht="15.75" customHeight="1" x14ac:dyDescent="0.2">
      <c r="A53" s="1" t="s">
        <v>106</v>
      </c>
      <c r="B53" s="1" t="s">
        <v>107</v>
      </c>
      <c r="C53" s="5" t="str">
        <f ca="1">IFERROR(__xludf.DUMMYFUNCTION("REGEXEXTRACT($B53, $E$2)"),"artcenter")</f>
        <v>artcenter</v>
      </c>
      <c r="E53" s="4"/>
      <c r="F53" s="4"/>
      <c r="G53" s="4"/>
      <c r="H53" s="4"/>
      <c r="I53" s="4"/>
      <c r="J53" s="4"/>
      <c r="K53" s="4"/>
      <c r="L53" s="4"/>
      <c r="M53" s="4"/>
      <c r="N53" s="4"/>
      <c r="O53" s="4"/>
      <c r="P53" s="4"/>
      <c r="Q53" s="4"/>
      <c r="R53" s="4"/>
      <c r="S53" s="4"/>
      <c r="T53" s="4"/>
      <c r="U53" s="4"/>
      <c r="V53" s="4"/>
      <c r="W53" s="4"/>
      <c r="X53" s="4"/>
      <c r="Y53" s="4"/>
      <c r="Z53" s="4"/>
    </row>
    <row r="54" spans="1:26" ht="15.75" customHeight="1" x14ac:dyDescent="0.2">
      <c r="A54" s="1" t="s">
        <v>108</v>
      </c>
      <c r="B54" s="1" t="s">
        <v>109</v>
      </c>
      <c r="C54" s="5" t="str">
        <f ca="1">IFERROR(__xludf.DUMMYFUNCTION("REGEXEXTRACT($B54, $E$2)"),"asbury")</f>
        <v>asbury</v>
      </c>
      <c r="E54" s="4"/>
      <c r="F54" s="4"/>
      <c r="G54" s="4"/>
      <c r="H54" s="4"/>
      <c r="I54" s="4"/>
      <c r="J54" s="4"/>
      <c r="K54" s="4"/>
      <c r="L54" s="4"/>
      <c r="M54" s="4"/>
      <c r="N54" s="4"/>
      <c r="O54" s="4"/>
      <c r="P54" s="4"/>
      <c r="Q54" s="4"/>
      <c r="R54" s="4"/>
      <c r="S54" s="4"/>
      <c r="T54" s="4"/>
      <c r="U54" s="4"/>
      <c r="V54" s="4"/>
      <c r="W54" s="4"/>
      <c r="X54" s="4"/>
      <c r="Y54" s="4"/>
      <c r="Z54" s="4"/>
    </row>
    <row r="55" spans="1:26" ht="15.75" customHeight="1" x14ac:dyDescent="0.2">
      <c r="A55" s="1" t="s">
        <v>110</v>
      </c>
      <c r="B55" s="1" t="s">
        <v>111</v>
      </c>
      <c r="C55" s="5" t="str">
        <f ca="1">IFERROR(__xludf.DUMMYFUNCTION("REGEXEXTRACT($B55, $E$2)"),"ashland")</f>
        <v>ashland</v>
      </c>
      <c r="E55" s="4"/>
      <c r="F55" s="4"/>
      <c r="G55" s="4"/>
      <c r="H55" s="4"/>
      <c r="I55" s="4"/>
      <c r="J55" s="4"/>
      <c r="K55" s="4"/>
      <c r="L55" s="4"/>
      <c r="M55" s="4"/>
      <c r="N55" s="4"/>
      <c r="O55" s="4"/>
      <c r="P55" s="4"/>
      <c r="Q55" s="4"/>
      <c r="R55" s="4"/>
      <c r="S55" s="4"/>
      <c r="T55" s="4"/>
      <c r="U55" s="4"/>
      <c r="V55" s="4"/>
      <c r="W55" s="4"/>
      <c r="X55" s="4"/>
      <c r="Y55" s="4"/>
      <c r="Z55" s="4"/>
    </row>
    <row r="56" spans="1:26" ht="15.75" customHeight="1" x14ac:dyDescent="0.2">
      <c r="A56" s="1" t="s">
        <v>112</v>
      </c>
      <c r="B56" s="1" t="s">
        <v>113</v>
      </c>
      <c r="C56" s="5" t="str">
        <f ca="1">IFERROR(__xludf.DUMMYFUNCTION("REGEXEXTRACT($B56, $E$2)"),"assumption")</f>
        <v>assumption</v>
      </c>
      <c r="E56" s="4"/>
      <c r="F56" s="4"/>
      <c r="G56" s="4"/>
      <c r="H56" s="4"/>
      <c r="I56" s="4"/>
      <c r="J56" s="4"/>
      <c r="K56" s="4"/>
      <c r="L56" s="4"/>
      <c r="M56" s="4"/>
      <c r="N56" s="4"/>
      <c r="O56" s="4"/>
      <c r="P56" s="4"/>
      <c r="Q56" s="4"/>
      <c r="R56" s="4"/>
      <c r="S56" s="4"/>
      <c r="T56" s="4"/>
      <c r="U56" s="4"/>
      <c r="V56" s="4"/>
      <c r="W56" s="4"/>
      <c r="X56" s="4"/>
      <c r="Y56" s="4"/>
      <c r="Z56" s="4"/>
    </row>
    <row r="57" spans="1:26" ht="15.75" customHeight="1" x14ac:dyDescent="0.2">
      <c r="A57" s="1" t="s">
        <v>114</v>
      </c>
      <c r="B57" s="1" t="s">
        <v>115</v>
      </c>
      <c r="C57" s="5" t="str">
        <f ca="1">IFERROR(__xludf.DUMMYFUNCTION("REGEXEXTRACT($B57, $E$2)"),"athens")</f>
        <v>athens</v>
      </c>
      <c r="E57" s="4"/>
      <c r="F57" s="4"/>
      <c r="G57" s="4"/>
      <c r="H57" s="4"/>
      <c r="I57" s="4"/>
      <c r="J57" s="4"/>
      <c r="K57" s="4"/>
      <c r="L57" s="4"/>
      <c r="M57" s="4"/>
      <c r="N57" s="4"/>
      <c r="O57" s="4"/>
      <c r="P57" s="4"/>
      <c r="Q57" s="4"/>
      <c r="R57" s="4"/>
      <c r="S57" s="4"/>
      <c r="T57" s="4"/>
      <c r="U57" s="4"/>
      <c r="V57" s="4"/>
      <c r="W57" s="4"/>
      <c r="X57" s="4"/>
      <c r="Y57" s="4"/>
      <c r="Z57" s="4"/>
    </row>
    <row r="58" spans="1:26" ht="15.75" customHeight="1" x14ac:dyDescent="0.2">
      <c r="A58" s="1" t="s">
        <v>116</v>
      </c>
      <c r="B58" s="1" t="s">
        <v>117</v>
      </c>
      <c r="C58" s="5" t="str">
        <f ca="1">IFERROR(__xludf.DUMMYFUNCTION("REGEXEXTRACT($B58, $E$2)"),"auburn")</f>
        <v>auburn</v>
      </c>
      <c r="E58" s="4"/>
      <c r="F58" s="4"/>
      <c r="G58" s="4"/>
      <c r="H58" s="4"/>
      <c r="I58" s="4"/>
      <c r="J58" s="4"/>
      <c r="K58" s="4"/>
      <c r="L58" s="4"/>
      <c r="M58" s="4"/>
      <c r="N58" s="4"/>
      <c r="O58" s="4"/>
      <c r="P58" s="4"/>
      <c r="Q58" s="4"/>
      <c r="R58" s="4"/>
      <c r="S58" s="4"/>
      <c r="T58" s="4"/>
      <c r="U58" s="4"/>
      <c r="V58" s="4"/>
      <c r="W58" s="4"/>
      <c r="X58" s="4"/>
      <c r="Y58" s="4"/>
      <c r="Z58" s="4"/>
    </row>
    <row r="59" spans="1:26" ht="15.75" customHeight="1" x14ac:dyDescent="0.2">
      <c r="A59" s="1" t="s">
        <v>118</v>
      </c>
      <c r="B59" s="1" t="s">
        <v>119</v>
      </c>
      <c r="C59" s="5" t="str">
        <f ca="1">IFERROR(__xludf.DUMMYFUNCTION("REGEXEXTRACT($B59, $E$2)"),"aum")</f>
        <v>aum</v>
      </c>
      <c r="E59" s="4"/>
      <c r="F59" s="4"/>
      <c r="G59" s="4"/>
      <c r="H59" s="4"/>
      <c r="I59" s="4"/>
      <c r="J59" s="4"/>
      <c r="K59" s="4"/>
      <c r="L59" s="4"/>
      <c r="M59" s="4"/>
      <c r="N59" s="4"/>
      <c r="O59" s="4"/>
      <c r="P59" s="4"/>
      <c r="Q59" s="4"/>
      <c r="R59" s="4"/>
      <c r="S59" s="4"/>
      <c r="T59" s="4"/>
      <c r="U59" s="4"/>
      <c r="V59" s="4"/>
      <c r="W59" s="4"/>
      <c r="X59" s="4"/>
      <c r="Y59" s="4"/>
      <c r="Z59" s="4"/>
    </row>
    <row r="60" spans="1:26" ht="15.75" customHeight="1" x14ac:dyDescent="0.2">
      <c r="A60" s="1" t="s">
        <v>120</v>
      </c>
      <c r="B60" s="1" t="s">
        <v>121</v>
      </c>
      <c r="C60" s="5" t="str">
        <f ca="1">IFERROR(__xludf.DUMMYFUNCTION("REGEXEXTRACT($B60, $E$2)"),"augsburg")</f>
        <v>augsburg</v>
      </c>
      <c r="E60" s="4"/>
      <c r="F60" s="4"/>
      <c r="G60" s="4"/>
      <c r="H60" s="4"/>
      <c r="I60" s="4"/>
      <c r="J60" s="4"/>
      <c r="K60" s="4"/>
      <c r="L60" s="4"/>
      <c r="M60" s="4"/>
      <c r="N60" s="4"/>
      <c r="O60" s="4"/>
      <c r="P60" s="4"/>
      <c r="Q60" s="4"/>
      <c r="R60" s="4"/>
      <c r="S60" s="4"/>
      <c r="T60" s="4"/>
      <c r="U60" s="4"/>
      <c r="V60" s="4"/>
      <c r="W60" s="4"/>
      <c r="X60" s="4"/>
      <c r="Y60" s="4"/>
      <c r="Z60" s="4"/>
    </row>
    <row r="61" spans="1:26" ht="15.75" customHeight="1" x14ac:dyDescent="0.2">
      <c r="A61" s="1" t="s">
        <v>122</v>
      </c>
      <c r="B61" s="1" t="s">
        <v>123</v>
      </c>
      <c r="C61" s="5" t="str">
        <f ca="1">IFERROR(__xludf.DUMMYFUNCTION("REGEXEXTRACT($B61, $E$2)"),"augusta")</f>
        <v>augusta</v>
      </c>
      <c r="E61" s="4"/>
      <c r="F61" s="4"/>
      <c r="G61" s="4"/>
      <c r="H61" s="4"/>
      <c r="I61" s="4"/>
      <c r="J61" s="4"/>
      <c r="K61" s="4"/>
      <c r="L61" s="4"/>
      <c r="M61" s="4"/>
      <c r="N61" s="4"/>
      <c r="O61" s="4"/>
      <c r="P61" s="4"/>
      <c r="Q61" s="4"/>
      <c r="R61" s="4"/>
      <c r="S61" s="4"/>
      <c r="T61" s="4"/>
      <c r="U61" s="4"/>
      <c r="V61" s="4"/>
      <c r="W61" s="4"/>
      <c r="X61" s="4"/>
      <c r="Y61" s="4"/>
      <c r="Z61" s="4"/>
    </row>
    <row r="62" spans="1:26" ht="15.75" customHeight="1" x14ac:dyDescent="0.2">
      <c r="A62" s="1" t="s">
        <v>124</v>
      </c>
      <c r="B62" s="1" t="s">
        <v>125</v>
      </c>
      <c r="C62" s="5" t="str">
        <f ca="1">IFERROR(__xludf.DUMMYFUNCTION("REGEXEXTRACT($B62, $E$2)"),"augustana")</f>
        <v>augustana</v>
      </c>
      <c r="E62" s="4"/>
      <c r="F62" s="4"/>
      <c r="G62" s="4"/>
      <c r="H62" s="4"/>
      <c r="I62" s="4"/>
      <c r="J62" s="4"/>
      <c r="K62" s="4"/>
      <c r="L62" s="4"/>
      <c r="M62" s="4"/>
      <c r="N62" s="4"/>
      <c r="O62" s="4"/>
      <c r="P62" s="4"/>
      <c r="Q62" s="4"/>
      <c r="R62" s="4"/>
      <c r="S62" s="4"/>
      <c r="T62" s="4"/>
      <c r="U62" s="4"/>
      <c r="V62" s="4"/>
      <c r="W62" s="4"/>
      <c r="X62" s="4"/>
      <c r="Y62" s="4"/>
      <c r="Z62" s="4"/>
    </row>
    <row r="63" spans="1:26" ht="15.75" customHeight="1" x14ac:dyDescent="0.2">
      <c r="A63" s="1" t="s">
        <v>126</v>
      </c>
      <c r="B63" s="1" t="s">
        <v>127</v>
      </c>
      <c r="C63" s="5" t="str">
        <f ca="1">IFERROR(__xludf.DUMMYFUNCTION("REGEXEXTRACT($B63, $E$2)"),"augie")</f>
        <v>augie</v>
      </c>
      <c r="E63" s="4"/>
      <c r="F63" s="4"/>
      <c r="G63" s="4"/>
      <c r="H63" s="4"/>
      <c r="I63" s="4"/>
      <c r="J63" s="4"/>
      <c r="K63" s="4"/>
      <c r="L63" s="4"/>
      <c r="M63" s="4"/>
      <c r="N63" s="4"/>
      <c r="O63" s="4"/>
      <c r="P63" s="4"/>
      <c r="Q63" s="4"/>
      <c r="R63" s="4"/>
      <c r="S63" s="4"/>
      <c r="T63" s="4"/>
      <c r="U63" s="4"/>
      <c r="V63" s="4"/>
      <c r="W63" s="4"/>
      <c r="X63" s="4"/>
      <c r="Y63" s="4"/>
      <c r="Z63" s="4"/>
    </row>
    <row r="64" spans="1:26" ht="15.75" customHeight="1" x14ac:dyDescent="0.2">
      <c r="A64" s="1" t="s">
        <v>128</v>
      </c>
      <c r="B64" s="1" t="s">
        <v>129</v>
      </c>
      <c r="C64" s="5" t="str">
        <f ca="1">IFERROR(__xludf.DUMMYFUNCTION("REGEXEXTRACT($B64, $E$2)"),"aurora")</f>
        <v>aurora</v>
      </c>
      <c r="E64" s="4"/>
      <c r="F64" s="4"/>
      <c r="G64" s="4"/>
      <c r="H64" s="4"/>
      <c r="I64" s="4"/>
      <c r="J64" s="4"/>
      <c r="K64" s="4"/>
      <c r="L64" s="4"/>
      <c r="M64" s="4"/>
      <c r="N64" s="4"/>
      <c r="O64" s="4"/>
      <c r="P64" s="4"/>
      <c r="Q64" s="4"/>
      <c r="R64" s="4"/>
      <c r="S64" s="4"/>
      <c r="T64" s="4"/>
      <c r="U64" s="4"/>
      <c r="V64" s="4"/>
      <c r="W64" s="4"/>
      <c r="X64" s="4"/>
      <c r="Y64" s="4"/>
      <c r="Z64" s="4"/>
    </row>
    <row r="65" spans="1:26" ht="15.75" customHeight="1" x14ac:dyDescent="0.2">
      <c r="A65" s="1" t="s">
        <v>130</v>
      </c>
      <c r="B65" s="1" t="s">
        <v>131</v>
      </c>
      <c r="C65" s="5" t="str">
        <f ca="1">IFERROR(__xludf.DUMMYFUNCTION("REGEXEXTRACT($B65, $E$2)"),"austincollege")</f>
        <v>austincollege</v>
      </c>
      <c r="E65" s="4"/>
      <c r="F65" s="4"/>
      <c r="G65" s="4"/>
      <c r="H65" s="4"/>
      <c r="I65" s="4"/>
      <c r="J65" s="4"/>
      <c r="K65" s="4"/>
      <c r="L65" s="4"/>
      <c r="M65" s="4"/>
      <c r="N65" s="4"/>
      <c r="O65" s="4"/>
      <c r="P65" s="4"/>
      <c r="Q65" s="4"/>
      <c r="R65" s="4"/>
      <c r="S65" s="4"/>
      <c r="T65" s="4"/>
      <c r="U65" s="4"/>
      <c r="V65" s="4"/>
      <c r="W65" s="4"/>
      <c r="X65" s="4"/>
      <c r="Y65" s="4"/>
      <c r="Z65" s="4"/>
    </row>
    <row r="66" spans="1:26" ht="15.75" customHeight="1" x14ac:dyDescent="0.2">
      <c r="A66" s="1" t="s">
        <v>132</v>
      </c>
      <c r="B66" s="1" t="s">
        <v>133</v>
      </c>
      <c r="C66" s="5" t="str">
        <f ca="1">IFERROR(__xludf.DUMMYFUNCTION("REGEXEXTRACT($B66, $E$2)"),"austingrad")</f>
        <v>austingrad</v>
      </c>
      <c r="E66" s="4"/>
      <c r="F66" s="4"/>
      <c r="G66" s="4"/>
      <c r="H66" s="4"/>
      <c r="I66" s="4"/>
      <c r="J66" s="4"/>
      <c r="K66" s="4"/>
      <c r="L66" s="4"/>
      <c r="M66" s="4"/>
      <c r="N66" s="4"/>
      <c r="O66" s="4"/>
      <c r="P66" s="4"/>
      <c r="Q66" s="4"/>
      <c r="R66" s="4"/>
      <c r="S66" s="4"/>
      <c r="T66" s="4"/>
      <c r="U66" s="4"/>
      <c r="V66" s="4"/>
      <c r="W66" s="4"/>
      <c r="X66" s="4"/>
      <c r="Y66" s="4"/>
      <c r="Z66" s="4"/>
    </row>
    <row r="67" spans="1:26" ht="15.75" customHeight="1" x14ac:dyDescent="0.2">
      <c r="A67" s="1" t="s">
        <v>134</v>
      </c>
      <c r="B67" s="1" t="s">
        <v>135</v>
      </c>
      <c r="C67" s="5" t="str">
        <f ca="1">IFERROR(__xludf.DUMMYFUNCTION("REGEXEXTRACT($B67, $E$2)"),"apsu")</f>
        <v>apsu</v>
      </c>
      <c r="E67" s="4"/>
      <c r="F67" s="4"/>
      <c r="G67" s="4"/>
      <c r="H67" s="4"/>
      <c r="I67" s="4"/>
      <c r="J67" s="4"/>
      <c r="K67" s="4"/>
      <c r="L67" s="4"/>
      <c r="M67" s="4"/>
      <c r="N67" s="4"/>
      <c r="O67" s="4"/>
      <c r="P67" s="4"/>
      <c r="Q67" s="4"/>
      <c r="R67" s="4"/>
      <c r="S67" s="4"/>
      <c r="T67" s="4"/>
      <c r="U67" s="4"/>
      <c r="V67" s="4"/>
      <c r="W67" s="4"/>
      <c r="X67" s="4"/>
      <c r="Y67" s="4"/>
      <c r="Z67" s="4"/>
    </row>
    <row r="68" spans="1:26" ht="15.75" customHeight="1" x14ac:dyDescent="0.2">
      <c r="A68" s="1" t="s">
        <v>136</v>
      </c>
      <c r="B68" s="1" t="s">
        <v>137</v>
      </c>
      <c r="C68" s="5" t="str">
        <f ca="1">IFERROR(__xludf.DUMMYFUNCTION("REGEXEXTRACT($B68, $E$2)"),"avemaria")</f>
        <v>avemaria</v>
      </c>
      <c r="E68" s="4"/>
      <c r="F68" s="4"/>
      <c r="G68" s="4"/>
      <c r="H68" s="4"/>
      <c r="I68" s="4"/>
      <c r="J68" s="4"/>
      <c r="K68" s="4"/>
      <c r="L68" s="4"/>
      <c r="M68" s="4"/>
      <c r="N68" s="4"/>
      <c r="O68" s="4"/>
      <c r="P68" s="4"/>
      <c r="Q68" s="4"/>
      <c r="R68" s="4"/>
      <c r="S68" s="4"/>
      <c r="T68" s="4"/>
      <c r="U68" s="4"/>
      <c r="V68" s="4"/>
      <c r="W68" s="4"/>
      <c r="X68" s="4"/>
      <c r="Y68" s="4"/>
      <c r="Z68" s="4"/>
    </row>
    <row r="69" spans="1:26" ht="15.75" customHeight="1" x14ac:dyDescent="0.2">
      <c r="A69" s="1" t="s">
        <v>138</v>
      </c>
      <c r="B69" s="1" t="s">
        <v>139</v>
      </c>
      <c r="C69" s="5" t="str">
        <f ca="1">IFERROR(__xludf.DUMMYFUNCTION("REGEXEXTRACT($B69, $E$2)"),"averett")</f>
        <v>averett</v>
      </c>
      <c r="E69" s="4"/>
      <c r="F69" s="4"/>
      <c r="G69" s="4"/>
      <c r="H69" s="4"/>
      <c r="I69" s="4"/>
      <c r="J69" s="4"/>
      <c r="K69" s="4"/>
      <c r="L69" s="4"/>
      <c r="M69" s="4"/>
      <c r="N69" s="4"/>
      <c r="O69" s="4"/>
      <c r="P69" s="4"/>
      <c r="Q69" s="4"/>
      <c r="R69" s="4"/>
      <c r="S69" s="4"/>
      <c r="T69" s="4"/>
      <c r="U69" s="4"/>
      <c r="V69" s="4"/>
      <c r="W69" s="4"/>
      <c r="X69" s="4"/>
      <c r="Y69" s="4"/>
      <c r="Z69" s="4"/>
    </row>
    <row r="70" spans="1:26" ht="15.75" customHeight="1" x14ac:dyDescent="0.2">
      <c r="A70" s="1" t="s">
        <v>140</v>
      </c>
      <c r="B70" s="1" t="s">
        <v>141</v>
      </c>
      <c r="C70" s="5" t="str">
        <f ca="1">IFERROR(__xludf.DUMMYFUNCTION("REGEXEXTRACT($B70, $E$2)"),"avila")</f>
        <v>avila</v>
      </c>
      <c r="E70" s="4"/>
      <c r="F70" s="4"/>
      <c r="G70" s="4"/>
      <c r="H70" s="4"/>
      <c r="I70" s="4"/>
      <c r="J70" s="4"/>
      <c r="K70" s="4"/>
      <c r="L70" s="4"/>
      <c r="M70" s="4"/>
      <c r="N70" s="4"/>
      <c r="O70" s="4"/>
      <c r="P70" s="4"/>
      <c r="Q70" s="4"/>
      <c r="R70" s="4"/>
      <c r="S70" s="4"/>
      <c r="T70" s="4"/>
      <c r="U70" s="4"/>
      <c r="V70" s="4"/>
      <c r="W70" s="4"/>
      <c r="X70" s="4"/>
      <c r="Y70" s="4"/>
      <c r="Z70" s="4"/>
    </row>
    <row r="71" spans="1:26" ht="15.75" customHeight="1" x14ac:dyDescent="0.2">
      <c r="A71" s="1" t="s">
        <v>142</v>
      </c>
      <c r="B71" s="1" t="s">
        <v>143</v>
      </c>
      <c r="C71" s="5" t="str">
        <f ca="1">IFERROR(__xludf.DUMMYFUNCTION("REGEXEXTRACT($B71, $E$2)"),"apu")</f>
        <v>apu</v>
      </c>
      <c r="E71" s="4"/>
      <c r="F71" s="4"/>
      <c r="G71" s="4"/>
      <c r="H71" s="4"/>
      <c r="I71" s="4"/>
      <c r="J71" s="4"/>
      <c r="K71" s="4"/>
      <c r="L71" s="4"/>
      <c r="M71" s="4"/>
      <c r="N71" s="4"/>
      <c r="O71" s="4"/>
      <c r="P71" s="4"/>
      <c r="Q71" s="4"/>
      <c r="R71" s="4"/>
      <c r="S71" s="4"/>
      <c r="T71" s="4"/>
      <c r="U71" s="4"/>
      <c r="V71" s="4"/>
      <c r="W71" s="4"/>
      <c r="X71" s="4"/>
      <c r="Y71" s="4"/>
      <c r="Z71" s="4"/>
    </row>
    <row r="72" spans="1:26" ht="15.75" customHeight="1" x14ac:dyDescent="0.2">
      <c r="A72" s="1" t="s">
        <v>144</v>
      </c>
      <c r="B72" s="1" t="s">
        <v>145</v>
      </c>
      <c r="C72" s="5" t="str">
        <f ca="1">IFERROR(__xludf.DUMMYFUNCTION("REGEXEXTRACT($B72, $E$2)"),"babson")</f>
        <v>babson</v>
      </c>
      <c r="E72" s="4"/>
      <c r="F72" s="4"/>
      <c r="G72" s="4"/>
      <c r="H72" s="4"/>
      <c r="I72" s="4"/>
      <c r="J72" s="4"/>
      <c r="K72" s="4"/>
      <c r="L72" s="4"/>
      <c r="M72" s="4"/>
      <c r="N72" s="4"/>
      <c r="O72" s="4"/>
      <c r="P72" s="4"/>
      <c r="Q72" s="4"/>
      <c r="R72" s="4"/>
      <c r="S72" s="4"/>
      <c r="T72" s="4"/>
      <c r="U72" s="4"/>
      <c r="V72" s="4"/>
      <c r="W72" s="4"/>
      <c r="X72" s="4"/>
      <c r="Y72" s="4"/>
      <c r="Z72" s="4"/>
    </row>
    <row r="73" spans="1:26" ht="15.75" customHeight="1" x14ac:dyDescent="0.2">
      <c r="A73" s="1" t="s">
        <v>146</v>
      </c>
      <c r="B73" s="1" t="s">
        <v>147</v>
      </c>
      <c r="C73" s="5" t="str">
        <f ca="1">IFERROR(__xludf.DUMMYFUNCTION("REGEXEXTRACT($B73, $E$2)"),"bakeru")</f>
        <v>bakeru</v>
      </c>
      <c r="E73" s="4"/>
      <c r="F73" s="4"/>
      <c r="G73" s="4"/>
      <c r="H73" s="4"/>
      <c r="I73" s="4"/>
      <c r="J73" s="4"/>
      <c r="K73" s="4"/>
      <c r="L73" s="4"/>
      <c r="M73" s="4"/>
      <c r="N73" s="4"/>
      <c r="O73" s="4"/>
      <c r="P73" s="4"/>
      <c r="Q73" s="4"/>
      <c r="R73" s="4"/>
      <c r="S73" s="4"/>
      <c r="T73" s="4"/>
      <c r="U73" s="4"/>
      <c r="V73" s="4"/>
      <c r="W73" s="4"/>
      <c r="X73" s="4"/>
      <c r="Y73" s="4"/>
      <c r="Z73" s="4"/>
    </row>
    <row r="74" spans="1:26" ht="15.75" customHeight="1" x14ac:dyDescent="0.2">
      <c r="A74" s="1" t="s">
        <v>148</v>
      </c>
      <c r="B74" s="1" t="s">
        <v>149</v>
      </c>
      <c r="C74" s="5" t="str">
        <f ca="1">IFERROR(__xludf.DUMMYFUNCTION("REGEXEXTRACT($B74, $E$2)"),"bw")</f>
        <v>bw</v>
      </c>
      <c r="E74" s="4"/>
      <c r="F74" s="4"/>
      <c r="G74" s="4"/>
      <c r="H74" s="4"/>
      <c r="I74" s="4"/>
      <c r="J74" s="4"/>
      <c r="K74" s="4"/>
      <c r="L74" s="4"/>
      <c r="M74" s="4"/>
      <c r="N74" s="4"/>
      <c r="O74" s="4"/>
      <c r="P74" s="4"/>
      <c r="Q74" s="4"/>
      <c r="R74" s="4"/>
      <c r="S74" s="4"/>
      <c r="T74" s="4"/>
      <c r="U74" s="4"/>
      <c r="V74" s="4"/>
      <c r="W74" s="4"/>
      <c r="X74" s="4"/>
      <c r="Y74" s="4"/>
      <c r="Z74" s="4"/>
    </row>
    <row r="75" spans="1:26" ht="15.75" customHeight="1" x14ac:dyDescent="0.2">
      <c r="A75" s="1" t="s">
        <v>150</v>
      </c>
      <c r="B75" s="1" t="s">
        <v>151</v>
      </c>
      <c r="C75" s="5" t="str">
        <f ca="1">IFERROR(__xludf.DUMMYFUNCTION("REGEXEXTRACT($B75, $E$2)"),"bsu")</f>
        <v>bsu</v>
      </c>
      <c r="E75" s="4"/>
      <c r="F75" s="4"/>
      <c r="G75" s="4"/>
      <c r="H75" s="4"/>
      <c r="I75" s="4"/>
      <c r="J75" s="4"/>
      <c r="K75" s="4"/>
      <c r="L75" s="4"/>
      <c r="M75" s="4"/>
      <c r="N75" s="4"/>
      <c r="O75" s="4"/>
      <c r="P75" s="4"/>
      <c r="Q75" s="4"/>
      <c r="R75" s="4"/>
      <c r="S75" s="4"/>
      <c r="T75" s="4"/>
      <c r="U75" s="4"/>
      <c r="V75" s="4"/>
      <c r="W75" s="4"/>
      <c r="X75" s="4"/>
      <c r="Y75" s="4"/>
      <c r="Z75" s="4"/>
    </row>
    <row r="76" spans="1:26" ht="15.75" customHeight="1" x14ac:dyDescent="0.2">
      <c r="A76" s="1" t="s">
        <v>152</v>
      </c>
      <c r="B76" s="1" t="s">
        <v>153</v>
      </c>
      <c r="C76" s="5" t="str">
        <f ca="1">IFERROR(__xludf.DUMMYFUNCTION("REGEXEXTRACT($B76, $E$2)"),"baptistcollege")</f>
        <v>baptistcollege</v>
      </c>
      <c r="E76" s="4"/>
      <c r="F76" s="4"/>
      <c r="G76" s="4"/>
      <c r="H76" s="4"/>
      <c r="I76" s="4"/>
      <c r="J76" s="4"/>
      <c r="K76" s="4"/>
      <c r="L76" s="4"/>
      <c r="M76" s="4"/>
      <c r="N76" s="4"/>
      <c r="O76" s="4"/>
      <c r="P76" s="4"/>
      <c r="Q76" s="4"/>
      <c r="R76" s="4"/>
      <c r="S76" s="4"/>
      <c r="T76" s="4"/>
      <c r="U76" s="4"/>
      <c r="V76" s="4"/>
      <c r="W76" s="4"/>
      <c r="X76" s="4"/>
      <c r="Y76" s="4"/>
      <c r="Z76" s="4"/>
    </row>
    <row r="77" spans="1:26" ht="15.75" customHeight="1" x14ac:dyDescent="0.2">
      <c r="A77" s="1" t="s">
        <v>154</v>
      </c>
      <c r="B77" s="1" t="s">
        <v>155</v>
      </c>
      <c r="C77" s="5" t="str">
        <f ca="1">IFERROR(__xludf.DUMMYFUNCTION("REGEXEXTRACT($B77, $E$2)"),"bchs")</f>
        <v>bchs</v>
      </c>
      <c r="E77" s="4"/>
      <c r="F77" s="4"/>
      <c r="G77" s="4"/>
      <c r="H77" s="4"/>
      <c r="I77" s="4"/>
      <c r="J77" s="4"/>
      <c r="K77" s="4"/>
      <c r="L77" s="4"/>
      <c r="M77" s="4"/>
      <c r="N77" s="4"/>
      <c r="O77" s="4"/>
      <c r="P77" s="4"/>
      <c r="Q77" s="4"/>
      <c r="R77" s="4"/>
      <c r="S77" s="4"/>
      <c r="T77" s="4"/>
      <c r="U77" s="4"/>
      <c r="V77" s="4"/>
      <c r="W77" s="4"/>
      <c r="X77" s="4"/>
      <c r="Y77" s="4"/>
      <c r="Z77" s="4"/>
    </row>
    <row r="78" spans="1:26" ht="15.75" customHeight="1" x14ac:dyDescent="0.2">
      <c r="A78" s="1" t="s">
        <v>156</v>
      </c>
      <c r="B78" s="1" t="s">
        <v>157</v>
      </c>
      <c r="C78" s="5" t="str">
        <f ca="1">IFERROR(__xludf.DUMMYFUNCTION("REGEXEXTRACT($B78, $E$2)"),"barclaycollege")</f>
        <v>barclaycollege</v>
      </c>
      <c r="E78" s="4"/>
      <c r="F78" s="4"/>
      <c r="G78" s="4"/>
      <c r="H78" s="4"/>
      <c r="I78" s="4"/>
      <c r="J78" s="4"/>
      <c r="K78" s="4"/>
      <c r="L78" s="4"/>
      <c r="M78" s="4"/>
      <c r="N78" s="4"/>
      <c r="O78" s="4"/>
      <c r="P78" s="4"/>
      <c r="Q78" s="4"/>
      <c r="R78" s="4"/>
      <c r="S78" s="4"/>
      <c r="T78" s="4"/>
      <c r="U78" s="4"/>
      <c r="V78" s="4"/>
      <c r="W78" s="4"/>
      <c r="X78" s="4"/>
      <c r="Y78" s="4"/>
      <c r="Z78" s="4"/>
    </row>
    <row r="79" spans="1:26" ht="15.75" customHeight="1" x14ac:dyDescent="0.2">
      <c r="A79" s="1" t="s">
        <v>158</v>
      </c>
      <c r="B79" s="1" t="s">
        <v>159</v>
      </c>
      <c r="C79" s="5" t="str">
        <f ca="1">IFERROR(__xludf.DUMMYFUNCTION("REGEXEXTRACT($B79, $E$2)"),"bard")</f>
        <v>bard</v>
      </c>
      <c r="E79" s="4"/>
      <c r="F79" s="4"/>
      <c r="G79" s="4"/>
      <c r="H79" s="4"/>
      <c r="I79" s="4"/>
      <c r="J79" s="4"/>
      <c r="K79" s="4"/>
      <c r="L79" s="4"/>
      <c r="M79" s="4"/>
      <c r="N79" s="4"/>
      <c r="O79" s="4"/>
      <c r="P79" s="4"/>
      <c r="Q79" s="4"/>
      <c r="R79" s="4"/>
      <c r="S79" s="4"/>
      <c r="T79" s="4"/>
      <c r="U79" s="4"/>
      <c r="V79" s="4"/>
      <c r="W79" s="4"/>
      <c r="X79" s="4"/>
      <c r="Y79" s="4"/>
      <c r="Z79" s="4"/>
    </row>
    <row r="80" spans="1:26" ht="15.75" customHeight="1" x14ac:dyDescent="0.2">
      <c r="A80" s="1" t="s">
        <v>160</v>
      </c>
      <c r="B80" s="1" t="s">
        <v>161</v>
      </c>
      <c r="C80" s="5" t="str">
        <f ca="1">IFERROR(__xludf.DUMMYFUNCTION("REGEXEXTRACT($B80, $E$2)"),"simons-rock")</f>
        <v>simons-rock</v>
      </c>
      <c r="E80" s="4"/>
      <c r="F80" s="4"/>
      <c r="G80" s="4"/>
      <c r="H80" s="4"/>
      <c r="I80" s="4"/>
      <c r="J80" s="4"/>
      <c r="K80" s="4"/>
      <c r="L80" s="4"/>
      <c r="M80" s="4"/>
      <c r="N80" s="4"/>
      <c r="O80" s="4"/>
      <c r="P80" s="4"/>
      <c r="Q80" s="4"/>
      <c r="R80" s="4"/>
      <c r="S80" s="4"/>
      <c r="T80" s="4"/>
      <c r="U80" s="4"/>
      <c r="V80" s="4"/>
      <c r="W80" s="4"/>
      <c r="X80" s="4"/>
      <c r="Y80" s="4"/>
      <c r="Z80" s="4"/>
    </row>
    <row r="81" spans="1:26" ht="15.75" customHeight="1" x14ac:dyDescent="0.2">
      <c r="A81" s="1" t="s">
        <v>162</v>
      </c>
      <c r="B81" s="1" t="s">
        <v>163</v>
      </c>
      <c r="C81" s="5" t="str">
        <f ca="1">IFERROR(__xludf.DUMMYFUNCTION("REGEXEXTRACT($B81, $E$2)"),"barnard")</f>
        <v>barnard</v>
      </c>
      <c r="E81" s="4"/>
      <c r="F81" s="4"/>
      <c r="G81" s="4"/>
      <c r="H81" s="4"/>
      <c r="I81" s="4"/>
      <c r="J81" s="4"/>
      <c r="K81" s="4"/>
      <c r="L81" s="4"/>
      <c r="M81" s="4"/>
      <c r="N81" s="4"/>
      <c r="O81" s="4"/>
      <c r="P81" s="4"/>
      <c r="Q81" s="4"/>
      <c r="R81" s="4"/>
      <c r="S81" s="4"/>
      <c r="T81" s="4"/>
      <c r="U81" s="4"/>
      <c r="V81" s="4"/>
      <c r="W81" s="4"/>
      <c r="X81" s="4"/>
      <c r="Y81" s="4"/>
      <c r="Z81" s="4"/>
    </row>
    <row r="82" spans="1:26" ht="15.75" customHeight="1" x14ac:dyDescent="0.2">
      <c r="A82" s="1" t="s">
        <v>164</v>
      </c>
      <c r="B82" s="1" t="s">
        <v>165</v>
      </c>
      <c r="C82" s="5" t="str">
        <f ca="1">IFERROR(__xludf.DUMMYFUNCTION("REGEXEXTRACT($B82, $E$2)"),"barry")</f>
        <v>barry</v>
      </c>
      <c r="E82" s="4"/>
      <c r="F82" s="4"/>
      <c r="G82" s="4"/>
      <c r="H82" s="4"/>
      <c r="I82" s="4"/>
      <c r="J82" s="4"/>
      <c r="K82" s="4"/>
      <c r="L82" s="4"/>
      <c r="M82" s="4"/>
      <c r="N82" s="4"/>
      <c r="O82" s="4"/>
      <c r="P82" s="4"/>
      <c r="Q82" s="4"/>
      <c r="R82" s="4"/>
      <c r="S82" s="4"/>
      <c r="T82" s="4"/>
      <c r="U82" s="4"/>
      <c r="V82" s="4"/>
      <c r="W82" s="4"/>
      <c r="X82" s="4"/>
      <c r="Y82" s="4"/>
      <c r="Z82" s="4"/>
    </row>
    <row r="83" spans="1:26" ht="15.75" customHeight="1" x14ac:dyDescent="0.2">
      <c r="A83" s="1" t="s">
        <v>166</v>
      </c>
      <c r="B83" s="1" t="s">
        <v>167</v>
      </c>
      <c r="C83" s="5" t="str">
        <f ca="1">IFERROR(__xludf.DUMMYFUNCTION("REGEXEXTRACT($B83, $E$2)"),"barton")</f>
        <v>barton</v>
      </c>
      <c r="E83" s="4"/>
      <c r="F83" s="4"/>
      <c r="G83" s="4"/>
      <c r="H83" s="4"/>
      <c r="I83" s="4"/>
      <c r="J83" s="4"/>
      <c r="K83" s="4"/>
      <c r="L83" s="4"/>
      <c r="M83" s="4"/>
      <c r="N83" s="4"/>
      <c r="O83" s="4"/>
      <c r="P83" s="4"/>
      <c r="Q83" s="4"/>
      <c r="R83" s="4"/>
      <c r="S83" s="4"/>
      <c r="T83" s="4"/>
      <c r="U83" s="4"/>
      <c r="V83" s="4"/>
      <c r="W83" s="4"/>
      <c r="X83" s="4"/>
      <c r="Y83" s="4"/>
      <c r="Z83" s="4"/>
    </row>
    <row r="84" spans="1:26" ht="15.75" customHeight="1" x14ac:dyDescent="0.2">
      <c r="A84" s="1" t="s">
        <v>168</v>
      </c>
      <c r="B84" s="1" t="s">
        <v>169</v>
      </c>
      <c r="C84" s="5" t="str">
        <f ca="1">IFERROR(__xludf.DUMMYFUNCTION("REGEXEXTRACT($B84, $E$2)"),"bastyr")</f>
        <v>bastyr</v>
      </c>
      <c r="E84" s="4"/>
      <c r="F84" s="4"/>
      <c r="G84" s="4"/>
      <c r="H84" s="4"/>
      <c r="I84" s="4"/>
      <c r="J84" s="4"/>
      <c r="K84" s="4"/>
      <c r="L84" s="4"/>
      <c r="M84" s="4"/>
      <c r="N84" s="4"/>
      <c r="O84" s="4"/>
      <c r="P84" s="4"/>
      <c r="Q84" s="4"/>
      <c r="R84" s="4"/>
      <c r="S84" s="4"/>
      <c r="T84" s="4"/>
      <c r="U84" s="4"/>
      <c r="V84" s="4"/>
      <c r="W84" s="4"/>
      <c r="X84" s="4"/>
      <c r="Y84" s="4"/>
      <c r="Z84" s="4"/>
    </row>
    <row r="85" spans="1:26" ht="15.75" customHeight="1" x14ac:dyDescent="0.2">
      <c r="A85" s="1" t="s">
        <v>170</v>
      </c>
      <c r="B85" s="1" t="s">
        <v>171</v>
      </c>
      <c r="C85" s="5" t="str">
        <f ca="1">IFERROR(__xludf.DUMMYFUNCTION("REGEXEXTRACT($B85, $E$2)"),"bates")</f>
        <v>bates</v>
      </c>
      <c r="E85" s="4"/>
      <c r="F85" s="4"/>
      <c r="G85" s="4"/>
      <c r="H85" s="4"/>
      <c r="I85" s="4"/>
      <c r="J85" s="4"/>
      <c r="K85" s="4"/>
      <c r="L85" s="4"/>
      <c r="M85" s="4"/>
      <c r="N85" s="4"/>
      <c r="O85" s="4"/>
      <c r="P85" s="4"/>
      <c r="Q85" s="4"/>
      <c r="R85" s="4"/>
      <c r="S85" s="4"/>
      <c r="T85" s="4"/>
      <c r="U85" s="4"/>
      <c r="V85" s="4"/>
      <c r="W85" s="4"/>
      <c r="X85" s="4"/>
      <c r="Y85" s="4"/>
      <c r="Z85" s="4"/>
    </row>
    <row r="86" spans="1:26" ht="15.75" customHeight="1" x14ac:dyDescent="0.2">
      <c r="A86" s="1" t="s">
        <v>172</v>
      </c>
      <c r="B86" s="1" t="s">
        <v>173</v>
      </c>
      <c r="C86" s="5" t="str">
        <f ca="1">IFERROR(__xludf.DUMMYFUNCTION("REGEXEXTRACT($B86, $E$2)"),"baypath")</f>
        <v>baypath</v>
      </c>
      <c r="E86" s="4"/>
      <c r="F86" s="4"/>
      <c r="G86" s="4"/>
      <c r="H86" s="4"/>
      <c r="I86" s="4"/>
      <c r="J86" s="4"/>
      <c r="K86" s="4"/>
      <c r="L86" s="4"/>
      <c r="M86" s="4"/>
      <c r="N86" s="4"/>
      <c r="O86" s="4"/>
      <c r="P86" s="4"/>
      <c r="Q86" s="4"/>
      <c r="R86" s="4"/>
      <c r="S86" s="4"/>
      <c r="T86" s="4"/>
      <c r="U86" s="4"/>
      <c r="V86" s="4"/>
      <c r="W86" s="4"/>
      <c r="X86" s="4"/>
      <c r="Y86" s="4"/>
      <c r="Z86" s="4"/>
    </row>
    <row r="87" spans="1:26" ht="15.75" customHeight="1" x14ac:dyDescent="0.2">
      <c r="A87" s="1" t="s">
        <v>174</v>
      </c>
      <c r="B87" s="1" t="s">
        <v>175</v>
      </c>
      <c r="C87" s="5" t="str">
        <f ca="1">IFERROR(__xludf.DUMMYFUNCTION("REGEXEXTRACT($B87, $E$2)"),"baylor")</f>
        <v>baylor</v>
      </c>
      <c r="E87" s="4"/>
      <c r="F87" s="4"/>
      <c r="G87" s="4"/>
      <c r="H87" s="4"/>
      <c r="I87" s="4"/>
      <c r="J87" s="4"/>
      <c r="K87" s="4"/>
      <c r="L87" s="4"/>
      <c r="M87" s="4"/>
      <c r="N87" s="4"/>
      <c r="O87" s="4"/>
      <c r="P87" s="4"/>
      <c r="Q87" s="4"/>
      <c r="R87" s="4"/>
      <c r="S87" s="4"/>
      <c r="T87" s="4"/>
      <c r="U87" s="4"/>
      <c r="V87" s="4"/>
      <c r="W87" s="4"/>
      <c r="X87" s="4"/>
      <c r="Y87" s="4"/>
      <c r="Z87" s="4"/>
    </row>
    <row r="88" spans="1:26" ht="15.75" customHeight="1" x14ac:dyDescent="0.2">
      <c r="A88" s="1" t="s">
        <v>176</v>
      </c>
      <c r="B88" s="1" t="s">
        <v>177</v>
      </c>
      <c r="C88" s="5" t="str">
        <f ca="1">IFERROR(__xludf.DUMMYFUNCTION("REGEXEXTRACT($B88, $E$2)"),"beaconcollege")</f>
        <v>beaconcollege</v>
      </c>
      <c r="E88" s="4"/>
      <c r="F88" s="4"/>
      <c r="G88" s="4"/>
      <c r="H88" s="4"/>
      <c r="I88" s="4"/>
      <c r="J88" s="4"/>
      <c r="K88" s="4"/>
      <c r="L88" s="4"/>
      <c r="M88" s="4"/>
      <c r="N88" s="4"/>
      <c r="O88" s="4"/>
      <c r="P88" s="4"/>
      <c r="Q88" s="4"/>
      <c r="R88" s="4"/>
      <c r="S88" s="4"/>
      <c r="T88" s="4"/>
      <c r="U88" s="4"/>
      <c r="V88" s="4"/>
      <c r="W88" s="4"/>
      <c r="X88" s="4"/>
      <c r="Y88" s="4"/>
      <c r="Z88" s="4"/>
    </row>
    <row r="89" spans="1:26" ht="15.75" customHeight="1" x14ac:dyDescent="0.2">
      <c r="A89" s="1" t="s">
        <v>178</v>
      </c>
      <c r="B89" s="1" t="s">
        <v>179</v>
      </c>
      <c r="C89" s="5" t="str">
        <f ca="1">IFERROR(__xludf.DUMMYFUNCTION("REGEXEXTRACT($B89, $E$2)"),"becker")</f>
        <v>becker</v>
      </c>
      <c r="E89" s="4"/>
      <c r="F89" s="4"/>
      <c r="G89" s="4"/>
      <c r="H89" s="4"/>
      <c r="I89" s="4"/>
      <c r="J89" s="4"/>
      <c r="K89" s="4"/>
      <c r="L89" s="4"/>
      <c r="M89" s="4"/>
      <c r="N89" s="4"/>
      <c r="O89" s="4"/>
      <c r="P89" s="4"/>
      <c r="Q89" s="4"/>
      <c r="R89" s="4"/>
      <c r="S89" s="4"/>
      <c r="T89" s="4"/>
      <c r="U89" s="4"/>
      <c r="V89" s="4"/>
      <c r="W89" s="4"/>
      <c r="X89" s="4"/>
      <c r="Y89" s="4"/>
      <c r="Z89" s="4"/>
    </row>
    <row r="90" spans="1:26" ht="15.75" customHeight="1" x14ac:dyDescent="0.2">
      <c r="A90" s="1" t="s">
        <v>180</v>
      </c>
      <c r="B90" s="1" t="s">
        <v>181</v>
      </c>
      <c r="C90" s="5" t="str">
        <f ca="1">IFERROR(__xludf.DUMMYFUNCTION("REGEXEXTRACT($B90, $E$2)"),"belhaven")</f>
        <v>belhaven</v>
      </c>
      <c r="E90" s="4"/>
      <c r="F90" s="4"/>
      <c r="G90" s="4"/>
      <c r="H90" s="4"/>
      <c r="I90" s="4"/>
      <c r="J90" s="4"/>
      <c r="K90" s="4"/>
      <c r="L90" s="4"/>
      <c r="M90" s="4"/>
      <c r="N90" s="4"/>
      <c r="O90" s="4"/>
      <c r="P90" s="4"/>
      <c r="Q90" s="4"/>
      <c r="R90" s="4"/>
      <c r="S90" s="4"/>
      <c r="T90" s="4"/>
      <c r="U90" s="4"/>
      <c r="V90" s="4"/>
      <c r="W90" s="4"/>
      <c r="X90" s="4"/>
      <c r="Y90" s="4"/>
      <c r="Z90" s="4"/>
    </row>
    <row r="91" spans="1:26" ht="15.75" customHeight="1" x14ac:dyDescent="0.2">
      <c r="A91" s="1" t="s">
        <v>182</v>
      </c>
      <c r="B91" s="1" t="s">
        <v>183</v>
      </c>
      <c r="C91" s="5" t="str">
        <f ca="1">IFERROR(__xludf.DUMMYFUNCTION("REGEXEXTRACT($B91, $E$2)"),"bellarmine")</f>
        <v>bellarmine</v>
      </c>
      <c r="E91" s="4"/>
      <c r="F91" s="4"/>
      <c r="G91" s="4"/>
      <c r="H91" s="4"/>
      <c r="I91" s="4"/>
      <c r="J91" s="4"/>
      <c r="K91" s="4"/>
      <c r="L91" s="4"/>
      <c r="M91" s="4"/>
      <c r="N91" s="4"/>
      <c r="O91" s="4"/>
      <c r="P91" s="4"/>
      <c r="Q91" s="4"/>
      <c r="R91" s="4"/>
      <c r="S91" s="4"/>
      <c r="T91" s="4"/>
      <c r="U91" s="4"/>
      <c r="V91" s="4"/>
      <c r="W91" s="4"/>
      <c r="X91" s="4"/>
      <c r="Y91" s="4"/>
      <c r="Z91" s="4"/>
    </row>
    <row r="92" spans="1:26" ht="15.75" customHeight="1" x14ac:dyDescent="0.2">
      <c r="A92" s="1" t="s">
        <v>184</v>
      </c>
      <c r="B92" s="1" t="s">
        <v>185</v>
      </c>
      <c r="C92" s="5" t="str">
        <f ca="1">IFERROR(__xludf.DUMMYFUNCTION("REGEXEXTRACT($B92, $E$2)"),"bac")</f>
        <v>bac</v>
      </c>
      <c r="E92" s="4"/>
      <c r="F92" s="4"/>
      <c r="G92" s="4"/>
      <c r="H92" s="4"/>
      <c r="I92" s="4"/>
      <c r="J92" s="4"/>
      <c r="K92" s="4"/>
      <c r="L92" s="4"/>
      <c r="M92" s="4"/>
      <c r="N92" s="4"/>
      <c r="O92" s="4"/>
      <c r="P92" s="4"/>
      <c r="Q92" s="4"/>
      <c r="R92" s="4"/>
      <c r="S92" s="4"/>
      <c r="T92" s="4"/>
      <c r="U92" s="4"/>
      <c r="V92" s="4"/>
      <c r="W92" s="4"/>
      <c r="X92" s="4"/>
      <c r="Y92" s="4"/>
      <c r="Z92" s="4"/>
    </row>
    <row r="93" spans="1:26" ht="15.75" customHeight="1" x14ac:dyDescent="0.2">
      <c r="A93" s="1" t="s">
        <v>186</v>
      </c>
      <c r="B93" s="1" t="s">
        <v>187</v>
      </c>
      <c r="C93" s="5" t="str">
        <f ca="1">IFERROR(__xludf.DUMMYFUNCTION("REGEXEXTRACT($B93, $E$2)"),"belmont")</f>
        <v>belmont</v>
      </c>
      <c r="E93" s="4"/>
      <c r="F93" s="4"/>
      <c r="G93" s="4"/>
      <c r="H93" s="4"/>
      <c r="I93" s="4"/>
      <c r="J93" s="4"/>
      <c r="K93" s="4"/>
      <c r="L93" s="4"/>
      <c r="M93" s="4"/>
      <c r="N93" s="4"/>
      <c r="O93" s="4"/>
      <c r="P93" s="4"/>
      <c r="Q93" s="4"/>
      <c r="R93" s="4"/>
      <c r="S93" s="4"/>
      <c r="T93" s="4"/>
      <c r="U93" s="4"/>
      <c r="V93" s="4"/>
      <c r="W93" s="4"/>
      <c r="X93" s="4"/>
      <c r="Y93" s="4"/>
      <c r="Z93" s="4"/>
    </row>
    <row r="94" spans="1:26" ht="15.75" customHeight="1" x14ac:dyDescent="0.2">
      <c r="A94" s="1" t="s">
        <v>188</v>
      </c>
      <c r="B94" s="1" t="s">
        <v>189</v>
      </c>
      <c r="C94" s="5" t="str">
        <f ca="1">IFERROR(__xludf.DUMMYFUNCTION("REGEXEXTRACT($B94, $E$2)"),"beloit")</f>
        <v>beloit</v>
      </c>
      <c r="E94" s="4"/>
      <c r="F94" s="4"/>
      <c r="G94" s="4"/>
      <c r="H94" s="4"/>
      <c r="I94" s="4"/>
      <c r="J94" s="4"/>
      <c r="K94" s="4"/>
      <c r="L94" s="4"/>
      <c r="M94" s="4"/>
      <c r="N94" s="4"/>
      <c r="O94" s="4"/>
      <c r="P94" s="4"/>
      <c r="Q94" s="4"/>
      <c r="R94" s="4"/>
      <c r="S94" s="4"/>
      <c r="T94" s="4"/>
      <c r="U94" s="4"/>
      <c r="V94" s="4"/>
      <c r="W94" s="4"/>
      <c r="X94" s="4"/>
      <c r="Y94" s="4"/>
      <c r="Z94" s="4"/>
    </row>
    <row r="95" spans="1:26" ht="15.75" customHeight="1" x14ac:dyDescent="0.2">
      <c r="A95" s="1" t="s">
        <v>190</v>
      </c>
      <c r="B95" s="1" t="s">
        <v>191</v>
      </c>
      <c r="C95" s="5" t="str">
        <f ca="1">IFERROR(__xludf.DUMMYFUNCTION("REGEXEXTRACT($B95, $E$2)"),"bemidjistate")</f>
        <v>bemidjistate</v>
      </c>
      <c r="E95" s="4"/>
      <c r="F95" s="4"/>
      <c r="G95" s="4"/>
      <c r="H95" s="4"/>
      <c r="I95" s="4"/>
      <c r="J95" s="4"/>
      <c r="K95" s="4"/>
      <c r="L95" s="4"/>
      <c r="M95" s="4"/>
      <c r="N95" s="4"/>
      <c r="O95" s="4"/>
      <c r="P95" s="4"/>
      <c r="Q95" s="4"/>
      <c r="R95" s="4"/>
      <c r="S95" s="4"/>
      <c r="T95" s="4"/>
      <c r="U95" s="4"/>
      <c r="V95" s="4"/>
      <c r="W95" s="4"/>
      <c r="X95" s="4"/>
      <c r="Y95" s="4"/>
      <c r="Z95" s="4"/>
    </row>
    <row r="96" spans="1:26" ht="15.75" customHeight="1" x14ac:dyDescent="0.2">
      <c r="A96" s="1" t="s">
        <v>192</v>
      </c>
      <c r="B96" s="1" t="s">
        <v>193</v>
      </c>
      <c r="C96" s="5" t="str">
        <f ca="1">IFERROR(__xludf.DUMMYFUNCTION("REGEXEXTRACT($B96, $E$2)"),"benedict")</f>
        <v>benedict</v>
      </c>
      <c r="E96" s="4"/>
      <c r="F96" s="4"/>
      <c r="G96" s="4"/>
      <c r="H96" s="4"/>
      <c r="I96" s="4"/>
      <c r="J96" s="4"/>
      <c r="K96" s="4"/>
      <c r="L96" s="4"/>
      <c r="M96" s="4"/>
      <c r="N96" s="4"/>
      <c r="O96" s="4"/>
      <c r="P96" s="4"/>
      <c r="Q96" s="4"/>
      <c r="R96" s="4"/>
      <c r="S96" s="4"/>
      <c r="T96" s="4"/>
      <c r="U96" s="4"/>
      <c r="V96" s="4"/>
      <c r="W96" s="4"/>
      <c r="X96" s="4"/>
      <c r="Y96" s="4"/>
      <c r="Z96" s="4"/>
    </row>
    <row r="97" spans="1:26" ht="15.75" customHeight="1" x14ac:dyDescent="0.2">
      <c r="A97" s="1" t="s">
        <v>194</v>
      </c>
      <c r="B97" s="1" t="s">
        <v>195</v>
      </c>
      <c r="C97" s="5" t="str">
        <f ca="1">IFERROR(__xludf.DUMMYFUNCTION("REGEXEXTRACT($B97, $E$2)"),"benedictine")</f>
        <v>benedictine</v>
      </c>
      <c r="E97" s="4"/>
      <c r="F97" s="4"/>
      <c r="G97" s="4"/>
      <c r="H97" s="4"/>
      <c r="I97" s="4"/>
      <c r="J97" s="4"/>
      <c r="K97" s="4"/>
      <c r="L97" s="4"/>
      <c r="M97" s="4"/>
      <c r="N97" s="4"/>
      <c r="O97" s="4"/>
      <c r="P97" s="4"/>
      <c r="Q97" s="4"/>
      <c r="R97" s="4"/>
      <c r="S97" s="4"/>
      <c r="T97" s="4"/>
      <c r="U97" s="4"/>
      <c r="V97" s="4"/>
      <c r="W97" s="4"/>
      <c r="X97" s="4"/>
      <c r="Y97" s="4"/>
      <c r="Z97" s="4"/>
    </row>
    <row r="98" spans="1:26" ht="15.75" customHeight="1" x14ac:dyDescent="0.2">
      <c r="A98" s="1" t="s">
        <v>196</v>
      </c>
      <c r="B98" s="1" t="s">
        <v>197</v>
      </c>
      <c r="C98" s="5" t="str">
        <f ca="1">IFERROR(__xludf.DUMMYFUNCTION("REGEXEXTRACT($B98, $E$2)"),"ben")</f>
        <v>ben</v>
      </c>
      <c r="E98" s="4"/>
      <c r="F98" s="4"/>
      <c r="G98" s="4"/>
      <c r="H98" s="4"/>
      <c r="I98" s="4"/>
      <c r="J98" s="4"/>
      <c r="K98" s="4"/>
      <c r="L98" s="4"/>
      <c r="M98" s="4"/>
      <c r="N98" s="4"/>
      <c r="O98" s="4"/>
      <c r="P98" s="4"/>
      <c r="Q98" s="4"/>
      <c r="R98" s="4"/>
      <c r="S98" s="4"/>
      <c r="T98" s="4"/>
      <c r="U98" s="4"/>
      <c r="V98" s="4"/>
      <c r="W98" s="4"/>
      <c r="X98" s="4"/>
      <c r="Y98" s="4"/>
      <c r="Z98" s="4"/>
    </row>
    <row r="99" spans="1:26" ht="15.75" customHeight="1" x14ac:dyDescent="0.2">
      <c r="A99" s="1" t="s">
        <v>198</v>
      </c>
      <c r="B99" s="1" t="s">
        <v>199</v>
      </c>
      <c r="C99" s="5" t="str">
        <f ca="1">IFERROR(__xludf.DUMMYFUNCTION("REGEXEXTRACT($B99, $E$2)"),"bennett")</f>
        <v>bennett</v>
      </c>
      <c r="E99" s="4"/>
      <c r="F99" s="4"/>
      <c r="G99" s="4"/>
      <c r="H99" s="4"/>
      <c r="I99" s="4"/>
      <c r="J99" s="4"/>
      <c r="K99" s="4"/>
      <c r="L99" s="4"/>
      <c r="M99" s="4"/>
      <c r="N99" s="4"/>
      <c r="O99" s="4"/>
      <c r="P99" s="4"/>
      <c r="Q99" s="4"/>
      <c r="R99" s="4"/>
      <c r="S99" s="4"/>
      <c r="T99" s="4"/>
      <c r="U99" s="4"/>
      <c r="V99" s="4"/>
      <c r="W99" s="4"/>
      <c r="X99" s="4"/>
      <c r="Y99" s="4"/>
      <c r="Z99" s="4"/>
    </row>
    <row r="100" spans="1:26" ht="15.75" customHeight="1" x14ac:dyDescent="0.2">
      <c r="A100" s="1" t="s">
        <v>200</v>
      </c>
      <c r="B100" s="1" t="s">
        <v>201</v>
      </c>
      <c r="C100" s="5" t="str">
        <f ca="1">IFERROR(__xludf.DUMMYFUNCTION("REGEXEXTRACT($B100, $E$2)"),"bennington")</f>
        <v>bennington</v>
      </c>
      <c r="E100" s="4"/>
      <c r="F100" s="4"/>
      <c r="G100" s="4"/>
      <c r="H100" s="4"/>
      <c r="I100" s="4"/>
      <c r="J100" s="4"/>
      <c r="K100" s="4"/>
      <c r="L100" s="4"/>
      <c r="M100" s="4"/>
      <c r="N100" s="4"/>
      <c r="O100" s="4"/>
      <c r="P100" s="4"/>
      <c r="Q100" s="4"/>
      <c r="R100" s="4"/>
      <c r="S100" s="4"/>
      <c r="T100" s="4"/>
      <c r="U100" s="4"/>
      <c r="V100" s="4"/>
      <c r="W100" s="4"/>
      <c r="X100" s="4"/>
      <c r="Y100" s="4"/>
      <c r="Z100" s="4"/>
    </row>
    <row r="101" spans="1:26" ht="15.75" customHeight="1" x14ac:dyDescent="0.2">
      <c r="A101" s="1" t="s">
        <v>202</v>
      </c>
      <c r="B101" s="1" t="s">
        <v>203</v>
      </c>
      <c r="C101" s="5" t="str">
        <f ca="1">IFERROR(__xludf.DUMMYFUNCTION("REGEXEXTRACT($B101, $E$2)"),"bentley")</f>
        <v>bentley</v>
      </c>
      <c r="E101" s="4"/>
      <c r="F101" s="4"/>
      <c r="G101" s="4"/>
      <c r="H101" s="4"/>
      <c r="I101" s="4"/>
      <c r="J101" s="4"/>
      <c r="K101" s="4"/>
      <c r="L101" s="4"/>
      <c r="M101" s="4"/>
      <c r="N101" s="4"/>
      <c r="O101" s="4"/>
      <c r="P101" s="4"/>
      <c r="Q101" s="4"/>
      <c r="R101" s="4"/>
      <c r="S101" s="4"/>
      <c r="T101" s="4"/>
      <c r="U101" s="4"/>
      <c r="V101" s="4"/>
      <c r="W101" s="4"/>
      <c r="X101" s="4"/>
      <c r="Y101" s="4"/>
      <c r="Z101" s="4"/>
    </row>
    <row r="102" spans="1:26" ht="15.75" customHeight="1" x14ac:dyDescent="0.2">
      <c r="A102" s="1" t="s">
        <v>204</v>
      </c>
      <c r="B102" s="1" t="s">
        <v>205</v>
      </c>
      <c r="C102" s="5" t="str">
        <f ca="1">IFERROR(__xludf.DUMMYFUNCTION("REGEXEXTRACT($B102, $E$2)"),"berea")</f>
        <v>berea</v>
      </c>
      <c r="E102" s="4"/>
      <c r="F102" s="4"/>
      <c r="G102" s="4"/>
      <c r="H102" s="4"/>
      <c r="I102" s="4"/>
      <c r="J102" s="4"/>
      <c r="K102" s="4"/>
      <c r="L102" s="4"/>
      <c r="M102" s="4"/>
      <c r="N102" s="4"/>
      <c r="O102" s="4"/>
      <c r="P102" s="4"/>
      <c r="Q102" s="4"/>
      <c r="R102" s="4"/>
      <c r="S102" s="4"/>
      <c r="T102" s="4"/>
      <c r="U102" s="4"/>
      <c r="V102" s="4"/>
      <c r="W102" s="4"/>
      <c r="X102" s="4"/>
      <c r="Y102" s="4"/>
      <c r="Z102" s="4"/>
    </row>
    <row r="103" spans="1:26" ht="15.75" customHeight="1" x14ac:dyDescent="0.2">
      <c r="A103" s="1" t="s">
        <v>206</v>
      </c>
      <c r="B103" s="1" t="s">
        <v>207</v>
      </c>
      <c r="C103" s="5" t="str">
        <f ca="1">IFERROR(__xludf.DUMMYFUNCTION("REGEXEXTRACT($B103, $E$2)"),"berklee")</f>
        <v>berklee</v>
      </c>
      <c r="E103" s="4"/>
      <c r="F103" s="4"/>
      <c r="G103" s="4"/>
      <c r="H103" s="4"/>
      <c r="I103" s="4"/>
      <c r="J103" s="4"/>
      <c r="K103" s="4"/>
      <c r="L103" s="4"/>
      <c r="M103" s="4"/>
      <c r="N103" s="4"/>
      <c r="O103" s="4"/>
      <c r="P103" s="4"/>
      <c r="Q103" s="4"/>
      <c r="R103" s="4"/>
      <c r="S103" s="4"/>
      <c r="T103" s="4"/>
      <c r="U103" s="4"/>
      <c r="V103" s="4"/>
      <c r="W103" s="4"/>
      <c r="X103" s="4"/>
      <c r="Y103" s="4"/>
      <c r="Z103" s="4"/>
    </row>
    <row r="104" spans="1:26" ht="15.75" customHeight="1" x14ac:dyDescent="0.2">
      <c r="A104" s="1" t="s">
        <v>208</v>
      </c>
      <c r="B104" s="1" t="s">
        <v>209</v>
      </c>
      <c r="C104" s="5" t="str">
        <f ca="1">IFERROR(__xludf.DUMMYFUNCTION("REGEXEXTRACT($B104, $E$2)"),"berry")</f>
        <v>berry</v>
      </c>
      <c r="E104" s="4"/>
      <c r="F104" s="4"/>
      <c r="G104" s="4"/>
      <c r="H104" s="4"/>
      <c r="I104" s="4"/>
      <c r="J104" s="4"/>
      <c r="K104" s="4"/>
      <c r="L104" s="4"/>
      <c r="M104" s="4"/>
      <c r="N104" s="4"/>
      <c r="O104" s="4"/>
      <c r="P104" s="4"/>
      <c r="Q104" s="4"/>
      <c r="R104" s="4"/>
      <c r="S104" s="4"/>
      <c r="T104" s="4"/>
      <c r="U104" s="4"/>
      <c r="V104" s="4"/>
      <c r="W104" s="4"/>
      <c r="X104" s="4"/>
      <c r="Y104" s="4"/>
      <c r="Z104" s="4"/>
    </row>
    <row r="105" spans="1:26" ht="15.75" customHeight="1" x14ac:dyDescent="0.2">
      <c r="A105" s="1" t="s">
        <v>210</v>
      </c>
      <c r="B105" s="1" t="s">
        <v>211</v>
      </c>
      <c r="C105" s="5" t="str">
        <f ca="1">IFERROR(__xludf.DUMMYFUNCTION("REGEXEXTRACT($B105, $E$2)"),"bethanywv")</f>
        <v>bethanywv</v>
      </c>
      <c r="E105" s="4"/>
      <c r="F105" s="4"/>
      <c r="G105" s="4"/>
      <c r="H105" s="4"/>
      <c r="I105" s="4"/>
      <c r="J105" s="4"/>
      <c r="K105" s="4"/>
      <c r="L105" s="4"/>
      <c r="M105" s="4"/>
      <c r="N105" s="4"/>
      <c r="O105" s="4"/>
      <c r="P105" s="4"/>
      <c r="Q105" s="4"/>
      <c r="R105" s="4"/>
      <c r="S105" s="4"/>
      <c r="T105" s="4"/>
      <c r="U105" s="4"/>
      <c r="V105" s="4"/>
      <c r="W105" s="4"/>
      <c r="X105" s="4"/>
      <c r="Y105" s="4"/>
      <c r="Z105" s="4"/>
    </row>
    <row r="106" spans="1:26" ht="15.75" customHeight="1" x14ac:dyDescent="0.2">
      <c r="A106" s="1" t="s">
        <v>210</v>
      </c>
      <c r="B106" s="1" t="s">
        <v>212</v>
      </c>
      <c r="C106" s="5" t="str">
        <f ca="1">IFERROR(__xludf.DUMMYFUNCTION("REGEXEXTRACT($B106, $E$2)"),"bethanylb")</f>
        <v>bethanylb</v>
      </c>
      <c r="E106" s="4"/>
      <c r="F106" s="4"/>
      <c r="G106" s="4"/>
      <c r="H106" s="4"/>
      <c r="I106" s="4"/>
      <c r="J106" s="4"/>
      <c r="K106" s="4"/>
      <c r="L106" s="4"/>
      <c r="M106" s="4"/>
      <c r="N106" s="4"/>
      <c r="O106" s="4"/>
      <c r="P106" s="4"/>
      <c r="Q106" s="4"/>
      <c r="R106" s="4"/>
      <c r="S106" s="4"/>
      <c r="T106" s="4"/>
      <c r="U106" s="4"/>
      <c r="V106" s="4"/>
      <c r="W106" s="4"/>
      <c r="X106" s="4"/>
      <c r="Y106" s="4"/>
      <c r="Z106" s="4"/>
    </row>
    <row r="107" spans="1:26" ht="15.75" customHeight="1" x14ac:dyDescent="0.2">
      <c r="A107" s="1" t="s">
        <v>213</v>
      </c>
      <c r="B107" s="1" t="s">
        <v>214</v>
      </c>
      <c r="C107" s="5" t="str">
        <f ca="1">IFERROR(__xludf.DUMMYFUNCTION("REGEXEXTRACT($B107, $E$2)"),"blc")</f>
        <v>blc</v>
      </c>
      <c r="E107" s="4"/>
      <c r="F107" s="4"/>
      <c r="G107" s="4"/>
      <c r="H107" s="4"/>
      <c r="I107" s="4"/>
      <c r="J107" s="4"/>
      <c r="K107" s="4"/>
      <c r="L107" s="4"/>
      <c r="M107" s="4"/>
      <c r="N107" s="4"/>
      <c r="O107" s="4"/>
      <c r="P107" s="4"/>
      <c r="Q107" s="4"/>
      <c r="R107" s="4"/>
      <c r="S107" s="4"/>
      <c r="T107" s="4"/>
      <c r="U107" s="4"/>
      <c r="V107" s="4"/>
      <c r="W107" s="4"/>
      <c r="X107" s="4"/>
      <c r="Y107" s="4"/>
      <c r="Z107" s="4"/>
    </row>
    <row r="108" spans="1:26" ht="15.75" customHeight="1" x14ac:dyDescent="0.2">
      <c r="A108" s="1" t="s">
        <v>215</v>
      </c>
      <c r="B108" s="1" t="s">
        <v>216</v>
      </c>
      <c r="C108" s="5" t="str">
        <f ca="1">IFERROR(__xludf.DUMMYFUNCTION("REGEXEXTRACT($B108, $E$2)"),"bethelcollege")</f>
        <v>bethelcollege</v>
      </c>
      <c r="E108" s="4"/>
      <c r="F108" s="4"/>
      <c r="G108" s="4"/>
      <c r="H108" s="4"/>
      <c r="I108" s="4"/>
      <c r="J108" s="4"/>
      <c r="K108" s="4"/>
      <c r="L108" s="4"/>
      <c r="M108" s="4"/>
      <c r="N108" s="4"/>
      <c r="O108" s="4"/>
      <c r="P108" s="4"/>
      <c r="Q108" s="4"/>
      <c r="R108" s="4"/>
      <c r="S108" s="4"/>
      <c r="T108" s="4"/>
      <c r="U108" s="4"/>
      <c r="V108" s="4"/>
      <c r="W108" s="4"/>
      <c r="X108" s="4"/>
      <c r="Y108" s="4"/>
      <c r="Z108" s="4"/>
    </row>
    <row r="109" spans="1:26" ht="15.75" customHeight="1" x14ac:dyDescent="0.2">
      <c r="A109" s="1" t="s">
        <v>215</v>
      </c>
      <c r="B109" s="1" t="s">
        <v>217</v>
      </c>
      <c r="C109" s="5" t="str">
        <f ca="1">IFERROR(__xludf.DUMMYFUNCTION("REGEXEXTRACT($B109, $E$2)"),"bethelks")</f>
        <v>bethelks</v>
      </c>
      <c r="E109" s="4"/>
      <c r="F109" s="4"/>
      <c r="G109" s="4"/>
      <c r="H109" s="4"/>
      <c r="I109" s="4"/>
      <c r="J109" s="4"/>
      <c r="K109" s="4"/>
      <c r="L109" s="4"/>
      <c r="M109" s="4"/>
      <c r="N109" s="4"/>
      <c r="O109" s="4"/>
      <c r="P109" s="4"/>
      <c r="Q109" s="4"/>
      <c r="R109" s="4"/>
      <c r="S109" s="4"/>
      <c r="T109" s="4"/>
      <c r="U109" s="4"/>
      <c r="V109" s="4"/>
      <c r="W109" s="4"/>
      <c r="X109" s="4"/>
      <c r="Y109" s="4"/>
      <c r="Z109" s="4"/>
    </row>
    <row r="110" spans="1:26" ht="15.75" customHeight="1" x14ac:dyDescent="0.2">
      <c r="A110" s="1" t="s">
        <v>218</v>
      </c>
      <c r="B110" s="1" t="s">
        <v>219</v>
      </c>
      <c r="C110" s="5" t="str">
        <f ca="1">IFERROR(__xludf.DUMMYFUNCTION("REGEXEXTRACT($B110, $E$2)"),"bethelu")</f>
        <v>bethelu</v>
      </c>
      <c r="E110" s="4"/>
      <c r="F110" s="4"/>
      <c r="G110" s="4"/>
      <c r="H110" s="4"/>
      <c r="I110" s="4"/>
      <c r="J110" s="4"/>
      <c r="K110" s="4"/>
      <c r="L110" s="4"/>
      <c r="M110" s="4"/>
      <c r="N110" s="4"/>
      <c r="O110" s="4"/>
      <c r="P110" s="4"/>
      <c r="Q110" s="4"/>
      <c r="R110" s="4"/>
      <c r="S110" s="4"/>
      <c r="T110" s="4"/>
      <c r="U110" s="4"/>
      <c r="V110" s="4"/>
      <c r="W110" s="4"/>
      <c r="X110" s="4"/>
      <c r="Y110" s="4"/>
      <c r="Z110" s="4"/>
    </row>
    <row r="111" spans="1:26" ht="15.75" customHeight="1" x14ac:dyDescent="0.2">
      <c r="A111" s="1" t="s">
        <v>218</v>
      </c>
      <c r="B111" s="1" t="s">
        <v>220</v>
      </c>
      <c r="C111" s="5" t="str">
        <f ca="1">IFERROR(__xludf.DUMMYFUNCTION("REGEXEXTRACT($B111, $E$2)"),"bethel")</f>
        <v>bethel</v>
      </c>
      <c r="E111" s="4"/>
      <c r="F111" s="4"/>
      <c r="G111" s="4"/>
      <c r="H111" s="4"/>
      <c r="I111" s="4"/>
      <c r="J111" s="4"/>
      <c r="K111" s="4"/>
      <c r="L111" s="4"/>
      <c r="M111" s="4"/>
      <c r="N111" s="4"/>
      <c r="O111" s="4"/>
      <c r="P111" s="4"/>
      <c r="Q111" s="4"/>
      <c r="R111" s="4"/>
      <c r="S111" s="4"/>
      <c r="T111" s="4"/>
      <c r="U111" s="4"/>
      <c r="V111" s="4"/>
      <c r="W111" s="4"/>
      <c r="X111" s="4"/>
      <c r="Y111" s="4"/>
      <c r="Z111" s="4"/>
    </row>
    <row r="112" spans="1:26" ht="15.75" customHeight="1" x14ac:dyDescent="0.2">
      <c r="A112" s="1" t="s">
        <v>221</v>
      </c>
      <c r="B112" s="1" t="s">
        <v>222</v>
      </c>
      <c r="C112" s="5" t="str">
        <f ca="1">IFERROR(__xludf.DUMMYFUNCTION("REGEXEXTRACT($B112, $E$2)"),"cookman")</f>
        <v>cookman</v>
      </c>
      <c r="E112" s="4"/>
      <c r="F112" s="4"/>
      <c r="G112" s="4"/>
      <c r="H112" s="4"/>
      <c r="I112" s="4"/>
      <c r="J112" s="4"/>
      <c r="K112" s="4"/>
      <c r="L112" s="4"/>
      <c r="M112" s="4"/>
      <c r="N112" s="4"/>
      <c r="O112" s="4"/>
      <c r="P112" s="4"/>
      <c r="Q112" s="4"/>
      <c r="R112" s="4"/>
      <c r="S112" s="4"/>
      <c r="T112" s="4"/>
      <c r="U112" s="4"/>
      <c r="V112" s="4"/>
      <c r="W112" s="4"/>
      <c r="X112" s="4"/>
      <c r="Y112" s="4"/>
      <c r="Z112" s="4"/>
    </row>
    <row r="113" spans="1:26" ht="15.75" customHeight="1" x14ac:dyDescent="0.2">
      <c r="A113" s="1" t="s">
        <v>223</v>
      </c>
      <c r="B113" s="1" t="s">
        <v>224</v>
      </c>
      <c r="C113" s="5" t="str">
        <f ca="1">IFERROR(__xludf.DUMMYFUNCTION("REGEXEXTRACT($B113, $E$2)"),"beulah")</f>
        <v>beulah</v>
      </c>
      <c r="E113" s="4"/>
      <c r="F113" s="4"/>
      <c r="G113" s="4"/>
      <c r="H113" s="4"/>
      <c r="I113" s="4"/>
      <c r="J113" s="4"/>
      <c r="K113" s="4"/>
      <c r="L113" s="4"/>
      <c r="M113" s="4"/>
      <c r="N113" s="4"/>
      <c r="O113" s="4"/>
      <c r="P113" s="4"/>
      <c r="Q113" s="4"/>
      <c r="R113" s="4"/>
      <c r="S113" s="4"/>
      <c r="T113" s="4"/>
      <c r="U113" s="4"/>
      <c r="V113" s="4"/>
      <c r="W113" s="4"/>
      <c r="X113" s="4"/>
      <c r="Y113" s="4"/>
      <c r="Z113" s="4"/>
    </row>
    <row r="114" spans="1:26" ht="15.75" customHeight="1" x14ac:dyDescent="0.2">
      <c r="A114" s="1" t="s">
        <v>225</v>
      </c>
      <c r="B114" s="1" t="s">
        <v>226</v>
      </c>
      <c r="C114" s="5" t="str">
        <f ca="1">IFERROR(__xludf.DUMMYFUNCTION("REGEXEXTRACT($B114, $E$2)"),"biola")</f>
        <v>biola</v>
      </c>
      <c r="E114" s="4"/>
      <c r="F114" s="4"/>
      <c r="G114" s="4"/>
      <c r="H114" s="4"/>
      <c r="I114" s="4"/>
      <c r="J114" s="4"/>
      <c r="K114" s="4"/>
      <c r="L114" s="4"/>
      <c r="M114" s="4"/>
      <c r="N114" s="4"/>
      <c r="O114" s="4"/>
      <c r="P114" s="4"/>
      <c r="Q114" s="4"/>
      <c r="R114" s="4"/>
      <c r="S114" s="4"/>
      <c r="T114" s="4"/>
      <c r="U114" s="4"/>
      <c r="V114" s="4"/>
      <c r="W114" s="4"/>
      <c r="X114" s="4"/>
      <c r="Y114" s="4"/>
      <c r="Z114" s="4"/>
    </row>
    <row r="115" spans="1:26" ht="15.75" customHeight="1" x14ac:dyDescent="0.2">
      <c r="A115" s="1" t="s">
        <v>227</v>
      </c>
      <c r="B115" s="1" t="s">
        <v>228</v>
      </c>
      <c r="C115" s="5" t="str">
        <f ca="1">IFERROR(__xludf.DUMMYFUNCTION("REGEXEXTRACT($B115, $E$2)"),"bsc")</f>
        <v>bsc</v>
      </c>
      <c r="E115" s="4"/>
      <c r="F115" s="4"/>
      <c r="G115" s="4"/>
      <c r="H115" s="4"/>
      <c r="I115" s="4"/>
      <c r="J115" s="4"/>
      <c r="K115" s="4"/>
      <c r="L115" s="4"/>
      <c r="M115" s="4"/>
      <c r="N115" s="4"/>
      <c r="O115" s="4"/>
      <c r="P115" s="4"/>
      <c r="Q115" s="4"/>
      <c r="R115" s="4"/>
      <c r="S115" s="4"/>
      <c r="T115" s="4"/>
      <c r="U115" s="4"/>
      <c r="V115" s="4"/>
      <c r="W115" s="4"/>
      <c r="X115" s="4"/>
      <c r="Y115" s="4"/>
      <c r="Z115" s="4"/>
    </row>
    <row r="116" spans="1:26" ht="15.75" customHeight="1" x14ac:dyDescent="0.2">
      <c r="A116" s="1" t="s">
        <v>229</v>
      </c>
      <c r="B116" s="1" t="s">
        <v>230</v>
      </c>
      <c r="C116" s="5" t="str">
        <f ca="1">IFERROR(__xludf.DUMMYFUNCTION("REGEXEXTRACT($B116, $E$2)"),"bhsu")</f>
        <v>bhsu</v>
      </c>
      <c r="E116" s="4"/>
      <c r="F116" s="4"/>
      <c r="G116" s="4"/>
      <c r="H116" s="4"/>
      <c r="I116" s="4"/>
      <c r="J116" s="4"/>
      <c r="K116" s="4"/>
      <c r="L116" s="4"/>
      <c r="M116" s="4"/>
      <c r="N116" s="4"/>
      <c r="O116" s="4"/>
      <c r="P116" s="4"/>
      <c r="Q116" s="4"/>
      <c r="R116" s="4"/>
      <c r="S116" s="4"/>
      <c r="T116" s="4"/>
      <c r="U116" s="4"/>
      <c r="V116" s="4"/>
      <c r="W116" s="4"/>
      <c r="X116" s="4"/>
      <c r="Y116" s="4"/>
      <c r="Z116" s="4"/>
    </row>
    <row r="117" spans="1:26" ht="15.75" customHeight="1" x14ac:dyDescent="0.2">
      <c r="A117" s="1" t="s">
        <v>231</v>
      </c>
      <c r="B117" s="1" t="s">
        <v>232</v>
      </c>
      <c r="C117" s="5" t="str">
        <f ca="1">IFERROR(__xludf.DUMMYFUNCTION("REGEXEXTRACT($B117, $E$2)"),"blackburn")</f>
        <v>blackburn</v>
      </c>
      <c r="E117" s="4"/>
      <c r="F117" s="4"/>
      <c r="G117" s="4"/>
      <c r="H117" s="4"/>
      <c r="I117" s="4"/>
      <c r="J117" s="4"/>
      <c r="K117" s="4"/>
      <c r="L117" s="4"/>
      <c r="M117" s="4"/>
      <c r="N117" s="4"/>
      <c r="O117" s="4"/>
      <c r="P117" s="4"/>
      <c r="Q117" s="4"/>
      <c r="R117" s="4"/>
      <c r="S117" s="4"/>
      <c r="T117" s="4"/>
      <c r="U117" s="4"/>
      <c r="V117" s="4"/>
      <c r="W117" s="4"/>
      <c r="X117" s="4"/>
      <c r="Y117" s="4"/>
      <c r="Z117" s="4"/>
    </row>
    <row r="118" spans="1:26" ht="15.75" customHeight="1" x14ac:dyDescent="0.2">
      <c r="A118" s="1" t="s">
        <v>233</v>
      </c>
      <c r="B118" s="1" t="s">
        <v>234</v>
      </c>
      <c r="C118" s="5" t="str">
        <f ca="1">IFERROR(__xludf.DUMMYFUNCTION("REGEXEXTRACT($B118, $E$2)"),"brcn")</f>
        <v>brcn</v>
      </c>
      <c r="E118" s="4"/>
      <c r="F118" s="4"/>
      <c r="G118" s="4"/>
      <c r="H118" s="4"/>
      <c r="I118" s="4"/>
      <c r="J118" s="4"/>
      <c r="K118" s="4"/>
      <c r="L118" s="4"/>
      <c r="M118" s="4"/>
      <c r="N118" s="4"/>
      <c r="O118" s="4"/>
      <c r="P118" s="4"/>
      <c r="Q118" s="4"/>
      <c r="R118" s="4"/>
      <c r="S118" s="4"/>
      <c r="T118" s="4"/>
      <c r="U118" s="4"/>
      <c r="V118" s="4"/>
      <c r="W118" s="4"/>
      <c r="X118" s="4"/>
      <c r="Y118" s="4"/>
      <c r="Z118" s="4"/>
    </row>
    <row r="119" spans="1:26" ht="15.75" customHeight="1" x14ac:dyDescent="0.2">
      <c r="A119" s="1" t="s">
        <v>235</v>
      </c>
      <c r="B119" s="1" t="s">
        <v>236</v>
      </c>
      <c r="C119" s="5" t="str">
        <f ca="1">IFERROR(__xludf.DUMMYFUNCTION("REGEXEXTRACT($B119, $E$2)"),"bloomfield")</f>
        <v>bloomfield</v>
      </c>
      <c r="E119" s="4"/>
      <c r="F119" s="4"/>
      <c r="G119" s="4"/>
      <c r="H119" s="4"/>
      <c r="I119" s="4"/>
      <c r="J119" s="4"/>
      <c r="K119" s="4"/>
      <c r="L119" s="4"/>
      <c r="M119" s="4"/>
      <c r="N119" s="4"/>
      <c r="O119" s="4"/>
      <c r="P119" s="4"/>
      <c r="Q119" s="4"/>
      <c r="R119" s="4"/>
      <c r="S119" s="4"/>
      <c r="T119" s="4"/>
      <c r="U119" s="4"/>
      <c r="V119" s="4"/>
      <c r="W119" s="4"/>
      <c r="X119" s="4"/>
      <c r="Y119" s="4"/>
      <c r="Z119" s="4"/>
    </row>
    <row r="120" spans="1:26" ht="15.75" customHeight="1" x14ac:dyDescent="0.2">
      <c r="A120" s="1" t="s">
        <v>237</v>
      </c>
      <c r="B120" s="1" t="s">
        <v>238</v>
      </c>
      <c r="C120" s="5" t="str">
        <f ca="1">IFERROR(__xludf.DUMMYFUNCTION("REGEXEXTRACT($B120, $E$2)"),"bloomu")</f>
        <v>bloomu</v>
      </c>
      <c r="E120" s="4"/>
      <c r="F120" s="4"/>
      <c r="G120" s="4"/>
      <c r="H120" s="4"/>
      <c r="I120" s="4"/>
      <c r="J120" s="4"/>
      <c r="K120" s="4"/>
      <c r="L120" s="4"/>
      <c r="M120" s="4"/>
      <c r="N120" s="4"/>
      <c r="O120" s="4"/>
      <c r="P120" s="4"/>
      <c r="Q120" s="4"/>
      <c r="R120" s="4"/>
      <c r="S120" s="4"/>
      <c r="T120" s="4"/>
      <c r="U120" s="4"/>
      <c r="V120" s="4"/>
      <c r="W120" s="4"/>
      <c r="X120" s="4"/>
      <c r="Y120" s="4"/>
      <c r="Z120" s="4"/>
    </row>
    <row r="121" spans="1:26" ht="15.75" customHeight="1" x14ac:dyDescent="0.2">
      <c r="A121" s="1" t="s">
        <v>239</v>
      </c>
      <c r="B121" s="1" t="s">
        <v>240</v>
      </c>
      <c r="C121" s="5" t="str">
        <f ca="1">IFERROR(__xludf.DUMMYFUNCTION("REGEXEXTRACT($B121, $E$2)"),"bmc")</f>
        <v>bmc</v>
      </c>
      <c r="E121" s="4"/>
      <c r="F121" s="4"/>
      <c r="G121" s="4"/>
      <c r="H121" s="4"/>
      <c r="I121" s="4"/>
      <c r="J121" s="4"/>
      <c r="K121" s="4"/>
      <c r="L121" s="4"/>
      <c r="M121" s="4"/>
      <c r="N121" s="4"/>
      <c r="O121" s="4"/>
      <c r="P121" s="4"/>
      <c r="Q121" s="4"/>
      <c r="R121" s="4"/>
      <c r="S121" s="4"/>
      <c r="T121" s="4"/>
      <c r="U121" s="4"/>
      <c r="V121" s="4"/>
      <c r="W121" s="4"/>
      <c r="X121" s="4"/>
      <c r="Y121" s="4"/>
      <c r="Z121" s="4"/>
    </row>
    <row r="122" spans="1:26" ht="15.75" customHeight="1" x14ac:dyDescent="0.2">
      <c r="A122" s="1" t="s">
        <v>241</v>
      </c>
      <c r="B122" s="1" t="s">
        <v>242</v>
      </c>
      <c r="C122" s="5" t="str">
        <f ca="1">IFERROR(__xludf.DUMMYFUNCTION("REGEXEXTRACT($B122, $E$2)"),"bluefield")</f>
        <v>bluefield</v>
      </c>
      <c r="E122" s="4"/>
      <c r="F122" s="4"/>
      <c r="G122" s="4"/>
      <c r="H122" s="4"/>
      <c r="I122" s="4"/>
      <c r="J122" s="4"/>
      <c r="K122" s="4"/>
      <c r="L122" s="4"/>
      <c r="M122" s="4"/>
      <c r="N122" s="4"/>
      <c r="O122" s="4"/>
      <c r="P122" s="4"/>
      <c r="Q122" s="4"/>
      <c r="R122" s="4"/>
      <c r="S122" s="4"/>
      <c r="T122" s="4"/>
      <c r="U122" s="4"/>
      <c r="V122" s="4"/>
      <c r="W122" s="4"/>
      <c r="X122" s="4"/>
      <c r="Y122" s="4"/>
      <c r="Z122" s="4"/>
    </row>
    <row r="123" spans="1:26" ht="15.75" customHeight="1" x14ac:dyDescent="0.2">
      <c r="A123" s="1" t="s">
        <v>243</v>
      </c>
      <c r="B123" s="1" t="s">
        <v>244</v>
      </c>
      <c r="C123" s="5" t="str">
        <f ca="1">IFERROR(__xludf.DUMMYFUNCTION("REGEXEXTRACT($B123, $E$2)"),"bluefieldstate")</f>
        <v>bluefieldstate</v>
      </c>
      <c r="E123" s="4"/>
      <c r="F123" s="4"/>
      <c r="G123" s="4"/>
      <c r="H123" s="4"/>
      <c r="I123" s="4"/>
      <c r="J123" s="4"/>
      <c r="K123" s="4"/>
      <c r="L123" s="4"/>
      <c r="M123" s="4"/>
      <c r="N123" s="4"/>
      <c r="O123" s="4"/>
      <c r="P123" s="4"/>
      <c r="Q123" s="4"/>
      <c r="R123" s="4"/>
      <c r="S123" s="4"/>
      <c r="T123" s="4"/>
      <c r="U123" s="4"/>
      <c r="V123" s="4"/>
      <c r="W123" s="4"/>
      <c r="X123" s="4"/>
      <c r="Y123" s="4"/>
      <c r="Z123" s="4"/>
    </row>
    <row r="124" spans="1:26" ht="15.75" customHeight="1" x14ac:dyDescent="0.2">
      <c r="A124" s="1" t="s">
        <v>245</v>
      </c>
      <c r="B124" s="1" t="s">
        <v>246</v>
      </c>
      <c r="C124" s="5" t="str">
        <f ca="1">IFERROR(__xludf.DUMMYFUNCTION("REGEXEXTRACT($B124, $E$2)"),"bluffton")</f>
        <v>bluffton</v>
      </c>
      <c r="E124" s="4"/>
      <c r="F124" s="4"/>
      <c r="G124" s="4"/>
      <c r="H124" s="4"/>
      <c r="I124" s="4"/>
      <c r="J124" s="4"/>
      <c r="K124" s="4"/>
      <c r="L124" s="4"/>
      <c r="M124" s="4"/>
      <c r="N124" s="4"/>
      <c r="O124" s="4"/>
      <c r="P124" s="4"/>
      <c r="Q124" s="4"/>
      <c r="R124" s="4"/>
      <c r="S124" s="4"/>
      <c r="T124" s="4"/>
      <c r="U124" s="4"/>
      <c r="V124" s="4"/>
      <c r="W124" s="4"/>
      <c r="X124" s="4"/>
      <c r="Y124" s="4"/>
      <c r="Z124" s="4"/>
    </row>
    <row r="125" spans="1:26" ht="15.75" customHeight="1" x14ac:dyDescent="0.2">
      <c r="A125" s="1" t="s">
        <v>247</v>
      </c>
      <c r="B125" s="1" t="s">
        <v>248</v>
      </c>
      <c r="C125" s="5" t="str">
        <f ca="1">IFERROR(__xludf.DUMMYFUNCTION("REGEXEXTRACT($B125, $E$2)"),"bju")</f>
        <v>bju</v>
      </c>
      <c r="E125" s="4"/>
      <c r="F125" s="4"/>
      <c r="G125" s="4"/>
      <c r="H125" s="4"/>
      <c r="I125" s="4"/>
      <c r="J125" s="4"/>
      <c r="K125" s="4"/>
      <c r="L125" s="4"/>
      <c r="M125" s="4"/>
      <c r="N125" s="4"/>
      <c r="O125" s="4"/>
      <c r="P125" s="4"/>
      <c r="Q125" s="4"/>
      <c r="R125" s="4"/>
      <c r="S125" s="4"/>
      <c r="T125" s="4"/>
      <c r="U125" s="4"/>
      <c r="V125" s="4"/>
      <c r="W125" s="4"/>
      <c r="X125" s="4"/>
      <c r="Y125" s="4"/>
      <c r="Z125" s="4"/>
    </row>
    <row r="126" spans="1:26" ht="15.75" customHeight="1" x14ac:dyDescent="0.2">
      <c r="A126" s="1" t="s">
        <v>249</v>
      </c>
      <c r="B126" s="1" t="s">
        <v>250</v>
      </c>
      <c r="C126" s="5" t="str">
        <f ca="1">IFERROR(__xludf.DUMMYFUNCTION("REGEXEXTRACT($B126, $E$2)"),"boisestate")</f>
        <v>boisestate</v>
      </c>
      <c r="E126" s="4"/>
      <c r="F126" s="4"/>
      <c r="G126" s="4"/>
      <c r="H126" s="4"/>
      <c r="I126" s="4"/>
      <c r="J126" s="4"/>
      <c r="K126" s="4"/>
      <c r="L126" s="4"/>
      <c r="M126" s="4"/>
      <c r="N126" s="4"/>
      <c r="O126" s="4"/>
      <c r="P126" s="4"/>
      <c r="Q126" s="4"/>
      <c r="R126" s="4"/>
      <c r="S126" s="4"/>
      <c r="T126" s="4"/>
      <c r="U126" s="4"/>
      <c r="V126" s="4"/>
      <c r="W126" s="4"/>
      <c r="X126" s="4"/>
      <c r="Y126" s="4"/>
      <c r="Z126" s="4"/>
    </row>
    <row r="127" spans="1:26" ht="15.75" customHeight="1" x14ac:dyDescent="0.2">
      <c r="A127" s="1" t="s">
        <v>251</v>
      </c>
      <c r="B127" s="1" t="s">
        <v>252</v>
      </c>
      <c r="C127" s="5" t="str">
        <f ca="1">IFERROR(__xludf.DUMMYFUNCTION("REGEXEXTRACT($B127, $E$2)"),"bc")</f>
        <v>bc</v>
      </c>
      <c r="E127" s="4"/>
      <c r="F127" s="4"/>
      <c r="G127" s="4"/>
      <c r="H127" s="4"/>
      <c r="I127" s="4"/>
      <c r="J127" s="4"/>
      <c r="K127" s="4"/>
      <c r="L127" s="4"/>
      <c r="M127" s="4"/>
      <c r="N127" s="4"/>
      <c r="O127" s="4"/>
      <c r="P127" s="4"/>
      <c r="Q127" s="4"/>
      <c r="R127" s="4"/>
      <c r="S127" s="4"/>
      <c r="T127" s="4"/>
      <c r="U127" s="4"/>
      <c r="V127" s="4"/>
      <c r="W127" s="4"/>
      <c r="X127" s="4"/>
      <c r="Y127" s="4"/>
      <c r="Z127" s="4"/>
    </row>
    <row r="128" spans="1:26" ht="15.75" customHeight="1" x14ac:dyDescent="0.2">
      <c r="A128" s="1" t="s">
        <v>253</v>
      </c>
      <c r="B128" s="1" t="s">
        <v>254</v>
      </c>
      <c r="C128" s="5" t="str">
        <f ca="1">IFERROR(__xludf.DUMMYFUNCTION("REGEXEXTRACT($B128, $E$2)"),"bu")</f>
        <v>bu</v>
      </c>
      <c r="E128" s="4"/>
      <c r="F128" s="4"/>
      <c r="G128" s="4"/>
      <c r="H128" s="4"/>
      <c r="I128" s="4"/>
      <c r="J128" s="4"/>
      <c r="K128" s="4"/>
      <c r="L128" s="4"/>
      <c r="M128" s="4"/>
      <c r="N128" s="4"/>
      <c r="O128" s="4"/>
      <c r="P128" s="4"/>
      <c r="Q128" s="4"/>
      <c r="R128" s="4"/>
      <c r="S128" s="4"/>
      <c r="T128" s="4"/>
      <c r="U128" s="4"/>
      <c r="V128" s="4"/>
      <c r="W128" s="4"/>
      <c r="X128" s="4"/>
      <c r="Y128" s="4"/>
      <c r="Z128" s="4"/>
    </row>
    <row r="129" spans="1:26" ht="15.75" customHeight="1" x14ac:dyDescent="0.2">
      <c r="A129" s="1" t="s">
        <v>255</v>
      </c>
      <c r="B129" s="1" t="s">
        <v>256</v>
      </c>
      <c r="C129" s="5" t="str">
        <f ca="1">IFERROR(__xludf.DUMMYFUNCTION("REGEXEXTRACT($B129, $E$2)"),"bowdoin")</f>
        <v>bowdoin</v>
      </c>
      <c r="E129" s="4"/>
      <c r="F129" s="4"/>
      <c r="G129" s="4"/>
      <c r="H129" s="4"/>
      <c r="I129" s="4"/>
      <c r="J129" s="4"/>
      <c r="K129" s="4"/>
      <c r="L129" s="4"/>
      <c r="M129" s="4"/>
      <c r="N129" s="4"/>
      <c r="O129" s="4"/>
      <c r="P129" s="4"/>
      <c r="Q129" s="4"/>
      <c r="R129" s="4"/>
      <c r="S129" s="4"/>
      <c r="T129" s="4"/>
      <c r="U129" s="4"/>
      <c r="V129" s="4"/>
      <c r="W129" s="4"/>
      <c r="X129" s="4"/>
      <c r="Y129" s="4"/>
      <c r="Z129" s="4"/>
    </row>
    <row r="130" spans="1:26" ht="15.75" customHeight="1" x14ac:dyDescent="0.2">
      <c r="A130" s="1" t="s">
        <v>257</v>
      </c>
      <c r="B130" s="1" t="s">
        <v>258</v>
      </c>
      <c r="C130" s="5" t="str">
        <f ca="1">IFERROR(__xludf.DUMMYFUNCTION("REGEXEXTRACT($B130, $E$2)"),"bowiestate")</f>
        <v>bowiestate</v>
      </c>
      <c r="E130" s="4"/>
      <c r="F130" s="4"/>
      <c r="G130" s="4"/>
      <c r="H130" s="4"/>
      <c r="I130" s="4"/>
      <c r="J130" s="4"/>
      <c r="K130" s="4"/>
      <c r="L130" s="4"/>
      <c r="M130" s="4"/>
      <c r="N130" s="4"/>
      <c r="O130" s="4"/>
      <c r="P130" s="4"/>
      <c r="Q130" s="4"/>
      <c r="R130" s="4"/>
      <c r="S130" s="4"/>
      <c r="T130" s="4"/>
      <c r="U130" s="4"/>
      <c r="V130" s="4"/>
      <c r="W130" s="4"/>
      <c r="X130" s="4"/>
      <c r="Y130" s="4"/>
      <c r="Z130" s="4"/>
    </row>
    <row r="131" spans="1:26" ht="15.75" customHeight="1" x14ac:dyDescent="0.2">
      <c r="A131" s="1" t="s">
        <v>259</v>
      </c>
      <c r="B131" s="1" t="s">
        <v>260</v>
      </c>
      <c r="C131" s="5" t="str">
        <f ca="1">IFERROR(__xludf.DUMMYFUNCTION("REGEXEXTRACT($B131, $E$2)"),"bgsu")</f>
        <v>bgsu</v>
      </c>
      <c r="E131" s="4"/>
      <c r="F131" s="4"/>
      <c r="G131" s="4"/>
      <c r="H131" s="4"/>
      <c r="I131" s="4"/>
      <c r="J131" s="4"/>
      <c r="K131" s="4"/>
      <c r="L131" s="4"/>
      <c r="M131" s="4"/>
      <c r="N131" s="4"/>
      <c r="O131" s="4"/>
      <c r="P131" s="4"/>
      <c r="Q131" s="4"/>
      <c r="R131" s="4"/>
      <c r="S131" s="4"/>
      <c r="T131" s="4"/>
      <c r="U131" s="4"/>
      <c r="V131" s="4"/>
      <c r="W131" s="4"/>
      <c r="X131" s="4"/>
      <c r="Y131" s="4"/>
      <c r="Z131" s="4"/>
    </row>
    <row r="132" spans="1:26" ht="15.75" customHeight="1" x14ac:dyDescent="0.2">
      <c r="A132" s="1" t="s">
        <v>261</v>
      </c>
      <c r="B132" s="1" t="s">
        <v>262</v>
      </c>
      <c r="C132" s="5" t="str">
        <f ca="1">IFERROR(__xludf.DUMMYFUNCTION("REGEXEXTRACT($B132, $E$2)"),"bradley")</f>
        <v>bradley</v>
      </c>
      <c r="E132" s="4"/>
      <c r="F132" s="4"/>
      <c r="G132" s="4"/>
      <c r="H132" s="4"/>
      <c r="I132" s="4"/>
      <c r="J132" s="4"/>
      <c r="K132" s="4"/>
      <c r="L132" s="4"/>
      <c r="M132" s="4"/>
      <c r="N132" s="4"/>
      <c r="O132" s="4"/>
      <c r="P132" s="4"/>
      <c r="Q132" s="4"/>
      <c r="R132" s="4"/>
      <c r="S132" s="4"/>
      <c r="T132" s="4"/>
      <c r="U132" s="4"/>
      <c r="V132" s="4"/>
      <c r="W132" s="4"/>
      <c r="X132" s="4"/>
      <c r="Y132" s="4"/>
      <c r="Z132" s="4"/>
    </row>
    <row r="133" spans="1:26" ht="15.75" customHeight="1" x14ac:dyDescent="0.2">
      <c r="A133" s="1" t="s">
        <v>263</v>
      </c>
      <c r="B133" s="1" t="s">
        <v>264</v>
      </c>
      <c r="C133" s="5" t="str">
        <f ca="1">IFERROR(__xludf.DUMMYFUNCTION("REGEXEXTRACT($B133, $E$2)"),"brandeis")</f>
        <v>brandeis</v>
      </c>
      <c r="E133" s="4"/>
      <c r="F133" s="4"/>
      <c r="G133" s="4"/>
      <c r="H133" s="4"/>
      <c r="I133" s="4"/>
      <c r="J133" s="4"/>
      <c r="K133" s="4"/>
      <c r="L133" s="4"/>
      <c r="M133" s="4"/>
      <c r="N133" s="4"/>
      <c r="O133" s="4"/>
      <c r="P133" s="4"/>
      <c r="Q133" s="4"/>
      <c r="R133" s="4"/>
      <c r="S133" s="4"/>
      <c r="T133" s="4"/>
      <c r="U133" s="4"/>
      <c r="V133" s="4"/>
      <c r="W133" s="4"/>
      <c r="X133" s="4"/>
      <c r="Y133" s="4"/>
      <c r="Z133" s="4"/>
    </row>
    <row r="134" spans="1:26" ht="15.75" customHeight="1" x14ac:dyDescent="0.2">
      <c r="A134" s="1" t="s">
        <v>265</v>
      </c>
      <c r="B134" s="1" t="s">
        <v>266</v>
      </c>
      <c r="C134" s="5" t="str">
        <f ca="1">IFERROR(__xludf.DUMMYFUNCTION("REGEXEXTRACT($B134, $E$2)"),"brenau")</f>
        <v>brenau</v>
      </c>
      <c r="E134" s="4"/>
      <c r="F134" s="4"/>
      <c r="G134" s="4"/>
      <c r="H134" s="4"/>
      <c r="I134" s="4"/>
      <c r="J134" s="4"/>
      <c r="K134" s="4"/>
      <c r="L134" s="4"/>
      <c r="M134" s="4"/>
      <c r="N134" s="4"/>
      <c r="O134" s="4"/>
      <c r="P134" s="4"/>
      <c r="Q134" s="4"/>
      <c r="R134" s="4"/>
      <c r="S134" s="4"/>
      <c r="T134" s="4"/>
      <c r="U134" s="4"/>
      <c r="V134" s="4"/>
      <c r="W134" s="4"/>
      <c r="X134" s="4"/>
      <c r="Y134" s="4"/>
      <c r="Z134" s="4"/>
    </row>
    <row r="135" spans="1:26" ht="15.75" customHeight="1" x14ac:dyDescent="0.2">
      <c r="A135" s="1" t="s">
        <v>267</v>
      </c>
      <c r="B135" s="1" t="s">
        <v>268</v>
      </c>
      <c r="C135" s="5" t="str">
        <f ca="1">IFERROR(__xludf.DUMMYFUNCTION("REGEXEXTRACT($B135, $E$2)"),"brescia")</f>
        <v>brescia</v>
      </c>
      <c r="E135" s="4"/>
      <c r="F135" s="4"/>
      <c r="G135" s="4"/>
      <c r="H135" s="4"/>
      <c r="I135" s="4"/>
      <c r="J135" s="4"/>
      <c r="K135" s="4"/>
      <c r="L135" s="4"/>
      <c r="M135" s="4"/>
      <c r="N135" s="4"/>
      <c r="O135" s="4"/>
      <c r="P135" s="4"/>
      <c r="Q135" s="4"/>
      <c r="R135" s="4"/>
      <c r="S135" s="4"/>
      <c r="T135" s="4"/>
      <c r="U135" s="4"/>
      <c r="V135" s="4"/>
      <c r="W135" s="4"/>
      <c r="X135" s="4"/>
      <c r="Y135" s="4"/>
      <c r="Z135" s="4"/>
    </row>
    <row r="136" spans="1:26" ht="15.75" customHeight="1" x14ac:dyDescent="0.2">
      <c r="A136" s="1" t="s">
        <v>269</v>
      </c>
      <c r="B136" s="1" t="s">
        <v>270</v>
      </c>
      <c r="C136" s="5" t="str">
        <f ca="1">IFERROR(__xludf.DUMMYFUNCTION("REGEXEXTRACT($B136, $E$2)"),"brevard")</f>
        <v>brevard</v>
      </c>
      <c r="E136" s="4"/>
      <c r="F136" s="4"/>
      <c r="G136" s="4"/>
      <c r="H136" s="4"/>
      <c r="I136" s="4"/>
      <c r="J136" s="4"/>
      <c r="K136" s="4"/>
      <c r="L136" s="4"/>
      <c r="M136" s="4"/>
      <c r="N136" s="4"/>
      <c r="O136" s="4"/>
      <c r="P136" s="4"/>
      <c r="Q136" s="4"/>
      <c r="R136" s="4"/>
      <c r="S136" s="4"/>
      <c r="T136" s="4"/>
      <c r="U136" s="4"/>
      <c r="V136" s="4"/>
      <c r="W136" s="4"/>
      <c r="X136" s="4"/>
      <c r="Y136" s="4"/>
      <c r="Z136" s="4"/>
    </row>
    <row r="137" spans="1:26" ht="15.75" customHeight="1" x14ac:dyDescent="0.2">
      <c r="A137" s="1" t="s">
        <v>271</v>
      </c>
      <c r="B137" s="1" t="s">
        <v>272</v>
      </c>
      <c r="C137" s="5" t="str">
        <f ca="1">IFERROR(__xludf.DUMMYFUNCTION("REGEXEXTRACT($B137, $E$2)"),"bpc")</f>
        <v>bpc</v>
      </c>
      <c r="E137" s="4"/>
      <c r="F137" s="4"/>
      <c r="G137" s="4"/>
      <c r="H137" s="4"/>
      <c r="I137" s="4"/>
      <c r="J137" s="4"/>
      <c r="K137" s="4"/>
      <c r="L137" s="4"/>
      <c r="M137" s="4"/>
      <c r="N137" s="4"/>
      <c r="O137" s="4"/>
      <c r="P137" s="4"/>
      <c r="Q137" s="4"/>
      <c r="R137" s="4"/>
      <c r="S137" s="4"/>
      <c r="T137" s="4"/>
      <c r="U137" s="4"/>
      <c r="V137" s="4"/>
      <c r="W137" s="4"/>
      <c r="X137" s="4"/>
      <c r="Y137" s="4"/>
      <c r="Z137" s="4"/>
    </row>
    <row r="138" spans="1:26" ht="15.75" customHeight="1" x14ac:dyDescent="0.2">
      <c r="A138" s="1" t="s">
        <v>273</v>
      </c>
      <c r="B138" s="1" t="s">
        <v>274</v>
      </c>
      <c r="C138" s="5" t="str">
        <f ca="1">IFERROR(__xludf.DUMMYFUNCTION("REGEXEXTRACT($B138, $E$2)"),"briarcliff")</f>
        <v>briarcliff</v>
      </c>
      <c r="E138" s="4"/>
      <c r="F138" s="4"/>
      <c r="G138" s="4"/>
      <c r="H138" s="4"/>
      <c r="I138" s="4"/>
      <c r="J138" s="4"/>
      <c r="K138" s="4"/>
      <c r="L138" s="4"/>
      <c r="M138" s="4"/>
      <c r="N138" s="4"/>
      <c r="O138" s="4"/>
      <c r="P138" s="4"/>
      <c r="Q138" s="4"/>
      <c r="R138" s="4"/>
      <c r="S138" s="4"/>
      <c r="T138" s="4"/>
      <c r="U138" s="4"/>
      <c r="V138" s="4"/>
      <c r="W138" s="4"/>
      <c r="X138" s="4"/>
      <c r="Y138" s="4"/>
      <c r="Z138" s="4"/>
    </row>
    <row r="139" spans="1:26" ht="15.75" customHeight="1" x14ac:dyDescent="0.2">
      <c r="A139" s="1" t="s">
        <v>275</v>
      </c>
      <c r="B139" s="1" t="s">
        <v>276</v>
      </c>
      <c r="C139" s="5" t="str">
        <f ca="1">IFERROR(__xludf.DUMMYFUNCTION("REGEXEXTRACT($B139, $E$2)"),"bridgewater")</f>
        <v>bridgewater</v>
      </c>
      <c r="E139" s="4"/>
      <c r="F139" s="4"/>
      <c r="G139" s="4"/>
      <c r="H139" s="4"/>
      <c r="I139" s="4"/>
      <c r="J139" s="4"/>
      <c r="K139" s="4"/>
      <c r="L139" s="4"/>
      <c r="M139" s="4"/>
      <c r="N139" s="4"/>
      <c r="O139" s="4"/>
      <c r="P139" s="4"/>
      <c r="Q139" s="4"/>
      <c r="R139" s="4"/>
      <c r="S139" s="4"/>
      <c r="T139" s="4"/>
      <c r="U139" s="4"/>
      <c r="V139" s="4"/>
      <c r="W139" s="4"/>
      <c r="X139" s="4"/>
      <c r="Y139" s="4"/>
      <c r="Z139" s="4"/>
    </row>
    <row r="140" spans="1:26" ht="15.75" customHeight="1" x14ac:dyDescent="0.2">
      <c r="A140" s="1" t="s">
        <v>277</v>
      </c>
      <c r="B140" s="1" t="s">
        <v>278</v>
      </c>
      <c r="C140" s="5" t="str">
        <f ca="1">IFERROR(__xludf.DUMMYFUNCTION("REGEXEXTRACT($B140, $E$2)"),"bridgew")</f>
        <v>bridgew</v>
      </c>
      <c r="E140" s="4"/>
      <c r="F140" s="4"/>
      <c r="G140" s="4"/>
      <c r="H140" s="4"/>
      <c r="I140" s="4"/>
      <c r="J140" s="4"/>
      <c r="K140" s="4"/>
      <c r="L140" s="4"/>
      <c r="M140" s="4"/>
      <c r="N140" s="4"/>
      <c r="O140" s="4"/>
      <c r="P140" s="4"/>
      <c r="Q140" s="4"/>
      <c r="R140" s="4"/>
      <c r="S140" s="4"/>
      <c r="T140" s="4"/>
      <c r="U140" s="4"/>
      <c r="V140" s="4"/>
      <c r="W140" s="4"/>
      <c r="X140" s="4"/>
      <c r="Y140" s="4"/>
      <c r="Z140" s="4"/>
    </row>
    <row r="141" spans="1:26" ht="15.75" customHeight="1" x14ac:dyDescent="0.2">
      <c r="A141" s="1" t="s">
        <v>279</v>
      </c>
      <c r="B141" s="1" t="s">
        <v>280</v>
      </c>
      <c r="C141" s="5" t="str">
        <f ca="1">IFERROR(__xludf.DUMMYFUNCTION("REGEXEXTRACT($B141, $E$2)"),"byuh")</f>
        <v>byuh</v>
      </c>
      <c r="E141" s="4"/>
      <c r="F141" s="4"/>
      <c r="G141" s="4"/>
      <c r="H141" s="4"/>
      <c r="I141" s="4"/>
      <c r="J141" s="4"/>
      <c r="K141" s="4"/>
      <c r="L141" s="4"/>
      <c r="M141" s="4"/>
      <c r="N141" s="4"/>
      <c r="O141" s="4"/>
      <c r="P141" s="4"/>
      <c r="Q141" s="4"/>
      <c r="R141" s="4"/>
      <c r="S141" s="4"/>
      <c r="T141" s="4"/>
      <c r="U141" s="4"/>
      <c r="V141" s="4"/>
      <c r="W141" s="4"/>
      <c r="X141" s="4"/>
      <c r="Y141" s="4"/>
      <c r="Z141" s="4"/>
    </row>
    <row r="142" spans="1:26" ht="15.75" customHeight="1" x14ac:dyDescent="0.2">
      <c r="A142" s="1" t="s">
        <v>281</v>
      </c>
      <c r="B142" s="1" t="s">
        <v>282</v>
      </c>
      <c r="C142" s="5" t="str">
        <f ca="1">IFERROR(__xludf.DUMMYFUNCTION("REGEXEXTRACT($B142, $E$2)"),"byui")</f>
        <v>byui</v>
      </c>
      <c r="E142" s="4"/>
      <c r="F142" s="4"/>
      <c r="G142" s="4"/>
      <c r="H142" s="4"/>
      <c r="I142" s="4"/>
      <c r="J142" s="4"/>
      <c r="K142" s="4"/>
      <c r="L142" s="4"/>
      <c r="M142" s="4"/>
      <c r="N142" s="4"/>
      <c r="O142" s="4"/>
      <c r="P142" s="4"/>
      <c r="Q142" s="4"/>
      <c r="R142" s="4"/>
      <c r="S142" s="4"/>
      <c r="T142" s="4"/>
      <c r="U142" s="4"/>
      <c r="V142" s="4"/>
      <c r="W142" s="4"/>
      <c r="X142" s="4"/>
      <c r="Y142" s="4"/>
      <c r="Z142" s="4"/>
    </row>
    <row r="143" spans="1:26" ht="15.75" customHeight="1" x14ac:dyDescent="0.2">
      <c r="A143" s="1" t="s">
        <v>283</v>
      </c>
      <c r="B143" s="1" t="s">
        <v>284</v>
      </c>
      <c r="C143" s="5" t="str">
        <f ca="1">IFERROR(__xludf.DUMMYFUNCTION("REGEXEXTRACT($B143, $E$2)"),"byu")</f>
        <v>byu</v>
      </c>
      <c r="E143" s="4"/>
      <c r="F143" s="4"/>
      <c r="G143" s="4"/>
      <c r="H143" s="4"/>
      <c r="I143" s="4"/>
      <c r="J143" s="4"/>
      <c r="K143" s="4"/>
      <c r="L143" s="4"/>
      <c r="M143" s="4"/>
      <c r="N143" s="4"/>
      <c r="O143" s="4"/>
      <c r="P143" s="4"/>
      <c r="Q143" s="4"/>
      <c r="R143" s="4"/>
      <c r="S143" s="4"/>
      <c r="T143" s="4"/>
      <c r="U143" s="4"/>
      <c r="V143" s="4"/>
      <c r="W143" s="4"/>
      <c r="X143" s="4"/>
      <c r="Y143" s="4"/>
      <c r="Z143" s="4"/>
    </row>
    <row r="144" spans="1:26" ht="15.75" customHeight="1" x14ac:dyDescent="0.2">
      <c r="A144" s="1" t="s">
        <v>285</v>
      </c>
      <c r="B144" s="1" t="s">
        <v>286</v>
      </c>
      <c r="C144" s="5" t="str">
        <f ca="1">IFERROR(__xludf.DUMMYFUNCTION("REGEXEXTRACT($B144, $E$2)"),"bryan")</f>
        <v>bryan</v>
      </c>
      <c r="E144" s="4"/>
      <c r="F144" s="4"/>
      <c r="G144" s="4"/>
      <c r="H144" s="4"/>
      <c r="I144" s="4"/>
      <c r="J144" s="4"/>
      <c r="K144" s="4"/>
      <c r="L144" s="4"/>
      <c r="M144" s="4"/>
      <c r="N144" s="4"/>
      <c r="O144" s="4"/>
      <c r="P144" s="4"/>
      <c r="Q144" s="4"/>
      <c r="R144" s="4"/>
      <c r="S144" s="4"/>
      <c r="T144" s="4"/>
      <c r="U144" s="4"/>
      <c r="V144" s="4"/>
      <c r="W144" s="4"/>
      <c r="X144" s="4"/>
      <c r="Y144" s="4"/>
      <c r="Z144" s="4"/>
    </row>
    <row r="145" spans="1:26" ht="15.75" customHeight="1" x14ac:dyDescent="0.2">
      <c r="A145" s="1" t="s">
        <v>287</v>
      </c>
      <c r="B145" s="1" t="s">
        <v>288</v>
      </c>
      <c r="C145" s="5" t="str">
        <f ca="1">IFERROR(__xludf.DUMMYFUNCTION("REGEXEXTRACT($B145, $E$2)"),"bryant")</f>
        <v>bryant</v>
      </c>
      <c r="E145" s="4"/>
      <c r="F145" s="4"/>
      <c r="G145" s="4"/>
      <c r="H145" s="4"/>
      <c r="I145" s="4"/>
      <c r="J145" s="4"/>
      <c r="K145" s="4"/>
      <c r="L145" s="4"/>
      <c r="M145" s="4"/>
      <c r="N145" s="4"/>
      <c r="O145" s="4"/>
      <c r="P145" s="4"/>
      <c r="Q145" s="4"/>
      <c r="R145" s="4"/>
      <c r="S145" s="4"/>
      <c r="T145" s="4"/>
      <c r="U145" s="4"/>
      <c r="V145" s="4"/>
      <c r="W145" s="4"/>
      <c r="X145" s="4"/>
      <c r="Y145" s="4"/>
      <c r="Z145" s="4"/>
    </row>
    <row r="146" spans="1:26" ht="15.75" customHeight="1" x14ac:dyDescent="0.2">
      <c r="A146" s="1" t="s">
        <v>289</v>
      </c>
      <c r="B146" s="1" t="s">
        <v>290</v>
      </c>
      <c r="C146" s="5" t="str">
        <f ca="1">IFERROR(__xludf.DUMMYFUNCTION("REGEXEXTRACT($B146, $E$2)"),"brynathyn")</f>
        <v>brynathyn</v>
      </c>
      <c r="E146" s="4"/>
      <c r="F146" s="4"/>
      <c r="G146" s="4"/>
      <c r="H146" s="4"/>
      <c r="I146" s="4"/>
      <c r="J146" s="4"/>
      <c r="K146" s="4"/>
      <c r="L146" s="4"/>
      <c r="M146" s="4"/>
      <c r="N146" s="4"/>
      <c r="O146" s="4"/>
      <c r="P146" s="4"/>
      <c r="Q146" s="4"/>
      <c r="R146" s="4"/>
      <c r="S146" s="4"/>
      <c r="T146" s="4"/>
      <c r="U146" s="4"/>
      <c r="V146" s="4"/>
      <c r="W146" s="4"/>
      <c r="X146" s="4"/>
      <c r="Y146" s="4"/>
      <c r="Z146" s="4"/>
    </row>
    <row r="147" spans="1:26" ht="15.75" customHeight="1" x14ac:dyDescent="0.2">
      <c r="A147" s="1" t="s">
        <v>291</v>
      </c>
      <c r="B147" s="1" t="s">
        <v>292</v>
      </c>
      <c r="C147" s="5" t="str">
        <f ca="1">IFERROR(__xludf.DUMMYFUNCTION("REGEXEXTRACT($B147, $E$2)"),"brynmawr")</f>
        <v>brynmawr</v>
      </c>
      <c r="E147" s="4"/>
      <c r="F147" s="4"/>
      <c r="G147" s="4"/>
      <c r="H147" s="4"/>
      <c r="I147" s="4"/>
      <c r="J147" s="4"/>
      <c r="K147" s="4"/>
      <c r="L147" s="4"/>
      <c r="M147" s="4"/>
      <c r="N147" s="4"/>
      <c r="O147" s="4"/>
      <c r="P147" s="4"/>
      <c r="Q147" s="4"/>
      <c r="R147" s="4"/>
      <c r="S147" s="4"/>
      <c r="T147" s="4"/>
      <c r="U147" s="4"/>
      <c r="V147" s="4"/>
      <c r="W147" s="4"/>
      <c r="X147" s="4"/>
      <c r="Y147" s="4"/>
      <c r="Z147" s="4"/>
    </row>
    <row r="148" spans="1:26" ht="15.75" customHeight="1" x14ac:dyDescent="0.2">
      <c r="A148" s="1" t="s">
        <v>293</v>
      </c>
      <c r="B148" s="7" t="s">
        <v>294</v>
      </c>
      <c r="C148" s="5" t="str">
        <f ca="1">IFERROR(__xludf.DUMMYFUNCTION("REGEXEXTRACT($B148, $E$2)"),"bucknell")</f>
        <v>bucknell</v>
      </c>
      <c r="E148" s="4"/>
      <c r="F148" s="4"/>
      <c r="G148" s="4"/>
      <c r="H148" s="4"/>
      <c r="I148" s="4"/>
      <c r="J148" s="4"/>
      <c r="K148" s="4"/>
      <c r="L148" s="4"/>
      <c r="M148" s="4"/>
      <c r="N148" s="4"/>
      <c r="O148" s="4"/>
      <c r="P148" s="4"/>
      <c r="Q148" s="4"/>
      <c r="R148" s="4"/>
      <c r="S148" s="4"/>
      <c r="T148" s="4"/>
      <c r="U148" s="4"/>
      <c r="V148" s="4"/>
      <c r="W148" s="4"/>
      <c r="X148" s="4"/>
      <c r="Y148" s="4"/>
      <c r="Z148" s="4"/>
    </row>
    <row r="149" spans="1:26" ht="15.75" customHeight="1" x14ac:dyDescent="0.2">
      <c r="A149" s="1" t="s">
        <v>295</v>
      </c>
      <c r="B149" s="1" t="s">
        <v>296</v>
      </c>
      <c r="C149" s="5" t="str">
        <f ca="1">IFERROR(__xludf.DUMMYFUNCTION("REGEXEXTRACT($B149, $E$2)"),"bvu")</f>
        <v>bvu</v>
      </c>
      <c r="E149" s="4"/>
      <c r="F149" s="4"/>
      <c r="G149" s="4"/>
      <c r="H149" s="4"/>
      <c r="I149" s="4"/>
      <c r="J149" s="4"/>
      <c r="K149" s="4"/>
      <c r="L149" s="4"/>
      <c r="M149" s="4"/>
      <c r="N149" s="4"/>
      <c r="O149" s="4"/>
      <c r="P149" s="4"/>
      <c r="Q149" s="4"/>
      <c r="R149" s="4"/>
      <c r="S149" s="4"/>
      <c r="T149" s="4"/>
      <c r="U149" s="4"/>
      <c r="V149" s="4"/>
      <c r="W149" s="4"/>
      <c r="X149" s="4"/>
      <c r="Y149" s="4"/>
      <c r="Z149" s="4"/>
    </row>
    <row r="150" spans="1:26" ht="15.75" customHeight="1" x14ac:dyDescent="0.2">
      <c r="A150" s="1" t="s">
        <v>297</v>
      </c>
      <c r="B150" s="1" t="s">
        <v>298</v>
      </c>
      <c r="C150" s="5" t="str">
        <f ca="1">IFERROR(__xludf.DUMMYFUNCTION("REGEXEXTRACT($B150, $E$2)"),"butler")</f>
        <v>butler</v>
      </c>
      <c r="E150" s="4"/>
      <c r="F150" s="4"/>
      <c r="G150" s="4"/>
      <c r="H150" s="4"/>
      <c r="I150" s="4"/>
      <c r="J150" s="4"/>
      <c r="K150" s="4"/>
      <c r="L150" s="4"/>
      <c r="M150" s="4"/>
      <c r="N150" s="4"/>
      <c r="O150" s="4"/>
      <c r="P150" s="4"/>
      <c r="Q150" s="4"/>
      <c r="R150" s="4"/>
      <c r="S150" s="4"/>
      <c r="T150" s="4"/>
      <c r="U150" s="4"/>
      <c r="V150" s="4"/>
      <c r="W150" s="4"/>
      <c r="X150" s="4"/>
      <c r="Y150" s="4"/>
      <c r="Z150" s="4"/>
    </row>
    <row r="151" spans="1:26" ht="15.75" customHeight="1" x14ac:dyDescent="0.2">
      <c r="A151" s="1" t="s">
        <v>299</v>
      </c>
      <c r="B151" s="1" t="s">
        <v>300</v>
      </c>
      <c r="C151" s="5" t="str">
        <f ca="1">IFERROR(__xludf.DUMMYFUNCTION("REGEXEXTRACT($B151, $E$2)"),"cabarruscollege")</f>
        <v>cabarruscollege</v>
      </c>
      <c r="E151" s="4"/>
      <c r="F151" s="4"/>
      <c r="G151" s="4"/>
      <c r="H151" s="4"/>
      <c r="I151" s="4"/>
      <c r="J151" s="4"/>
      <c r="K151" s="4"/>
      <c r="L151" s="4"/>
      <c r="M151" s="4"/>
      <c r="N151" s="4"/>
      <c r="O151" s="4"/>
      <c r="P151" s="4"/>
      <c r="Q151" s="4"/>
      <c r="R151" s="4"/>
      <c r="S151" s="4"/>
      <c r="T151" s="4"/>
      <c r="U151" s="4"/>
      <c r="V151" s="4"/>
      <c r="W151" s="4"/>
      <c r="X151" s="4"/>
      <c r="Y151" s="4"/>
      <c r="Z151" s="4"/>
    </row>
    <row r="152" spans="1:26" ht="15.75" customHeight="1" x14ac:dyDescent="0.2">
      <c r="A152" s="1" t="s">
        <v>301</v>
      </c>
      <c r="B152" s="1" t="s">
        <v>302</v>
      </c>
      <c r="C152" s="5" t="str">
        <f ca="1">IFERROR(__xludf.DUMMYFUNCTION("REGEXEXTRACT($B152, $E$2)"),"cabrini")</f>
        <v>cabrini</v>
      </c>
      <c r="E152" s="4"/>
      <c r="F152" s="4"/>
      <c r="G152" s="4"/>
      <c r="H152" s="4"/>
      <c r="I152" s="4"/>
      <c r="J152" s="4"/>
      <c r="K152" s="4"/>
      <c r="L152" s="4"/>
      <c r="M152" s="4"/>
      <c r="N152" s="4"/>
      <c r="O152" s="4"/>
      <c r="P152" s="4"/>
      <c r="Q152" s="4"/>
      <c r="R152" s="4"/>
      <c r="S152" s="4"/>
      <c r="T152" s="4"/>
      <c r="U152" s="4"/>
      <c r="V152" s="4"/>
      <c r="W152" s="4"/>
      <c r="X152" s="4"/>
      <c r="Y152" s="4"/>
      <c r="Z152" s="4"/>
    </row>
    <row r="153" spans="1:26" ht="15.75" customHeight="1" x14ac:dyDescent="0.2">
      <c r="A153" s="1" t="s">
        <v>303</v>
      </c>
      <c r="B153" s="1" t="s">
        <v>304</v>
      </c>
      <c r="C153" s="5" t="str">
        <f ca="1">IFERROR(__xludf.DUMMYFUNCTION("REGEXEXTRACT($B153, $E$2)"),"cairn")</f>
        <v>cairn</v>
      </c>
      <c r="E153" s="4"/>
      <c r="F153" s="4"/>
      <c r="G153" s="4"/>
      <c r="H153" s="4"/>
      <c r="I153" s="4"/>
      <c r="J153" s="4"/>
      <c r="K153" s="4"/>
      <c r="L153" s="4"/>
      <c r="M153" s="4"/>
      <c r="N153" s="4"/>
      <c r="O153" s="4"/>
      <c r="P153" s="4"/>
      <c r="Q153" s="4"/>
      <c r="R153" s="4"/>
      <c r="S153" s="4"/>
      <c r="T153" s="4"/>
      <c r="U153" s="4"/>
      <c r="V153" s="4"/>
      <c r="W153" s="4"/>
      <c r="X153" s="4"/>
      <c r="Y153" s="4"/>
      <c r="Z153" s="4"/>
    </row>
    <row r="154" spans="1:26" ht="15.75" customHeight="1" x14ac:dyDescent="0.2">
      <c r="A154" s="1" t="s">
        <v>305</v>
      </c>
      <c r="B154" s="1" t="s">
        <v>306</v>
      </c>
      <c r="C154" s="5" t="str">
        <f ca="1">IFERROR(__xludf.DUMMYFUNCTION("REGEXEXTRACT($B154, $E$2)"),"caldwell")</f>
        <v>caldwell</v>
      </c>
      <c r="E154" s="4"/>
      <c r="F154" s="4"/>
      <c r="G154" s="4"/>
      <c r="H154" s="4"/>
      <c r="I154" s="4"/>
      <c r="J154" s="4"/>
      <c r="K154" s="4"/>
      <c r="L154" s="4"/>
      <c r="M154" s="4"/>
      <c r="N154" s="4"/>
      <c r="O154" s="4"/>
      <c r="P154" s="4"/>
      <c r="Q154" s="4"/>
      <c r="R154" s="4"/>
      <c r="S154" s="4"/>
      <c r="T154" s="4"/>
      <c r="U154" s="4"/>
      <c r="V154" s="4"/>
      <c r="W154" s="4"/>
      <c r="X154" s="4"/>
      <c r="Y154" s="4"/>
      <c r="Z154" s="4"/>
    </row>
    <row r="155" spans="1:26" ht="15.75" customHeight="1" x14ac:dyDescent="0.2">
      <c r="A155" s="1" t="s">
        <v>307</v>
      </c>
      <c r="B155" s="1" t="s">
        <v>308</v>
      </c>
      <c r="C155" s="5" t="str">
        <f ca="1">IFERROR(__xludf.DUMMYFUNCTION("REGEXEXTRACT($B155, $E$2)"),"calbaptist")</f>
        <v>calbaptist</v>
      </c>
      <c r="E155" s="4"/>
      <c r="F155" s="4"/>
      <c r="G155" s="4"/>
      <c r="H155" s="4"/>
      <c r="I155" s="4"/>
      <c r="J155" s="4"/>
      <c r="K155" s="4"/>
      <c r="L155" s="4"/>
      <c r="M155" s="4"/>
      <c r="N155" s="4"/>
      <c r="O155" s="4"/>
      <c r="P155" s="4"/>
      <c r="Q155" s="4"/>
      <c r="R155" s="4"/>
      <c r="S155" s="4"/>
      <c r="T155" s="4"/>
      <c r="U155" s="4"/>
      <c r="V155" s="4"/>
      <c r="W155" s="4"/>
      <c r="X155" s="4"/>
      <c r="Y155" s="4"/>
      <c r="Z155" s="4"/>
    </row>
    <row r="156" spans="1:26" ht="15.75" customHeight="1" x14ac:dyDescent="0.2">
      <c r="A156" s="1" t="s">
        <v>309</v>
      </c>
      <c r="B156" s="1" t="s">
        <v>310</v>
      </c>
      <c r="C156" s="5" t="str">
        <f ca="1">IFERROR(__xludf.DUMMYFUNCTION("REGEXEXTRACT($B156, $E$2)"),"cca")</f>
        <v>cca</v>
      </c>
      <c r="E156" s="4"/>
      <c r="F156" s="4"/>
      <c r="G156" s="4"/>
      <c r="H156" s="4"/>
      <c r="I156" s="4"/>
      <c r="J156" s="4"/>
      <c r="K156" s="4"/>
      <c r="L156" s="4"/>
      <c r="M156" s="4"/>
      <c r="N156" s="4"/>
      <c r="O156" s="4"/>
      <c r="P156" s="4"/>
      <c r="Q156" s="4"/>
      <c r="R156" s="4"/>
      <c r="S156" s="4"/>
      <c r="T156" s="4"/>
      <c r="U156" s="4"/>
      <c r="V156" s="4"/>
      <c r="W156" s="4"/>
      <c r="X156" s="4"/>
      <c r="Y156" s="4"/>
      <c r="Z156" s="4"/>
    </row>
    <row r="157" spans="1:26" ht="15.75" customHeight="1" x14ac:dyDescent="0.2">
      <c r="A157" s="1" t="s">
        <v>311</v>
      </c>
      <c r="B157" s="1" t="s">
        <v>312</v>
      </c>
      <c r="C157" s="5" t="str">
        <f ca="1">IFERROR(__xludf.DUMMYFUNCTION("REGEXEXTRACT($B157, $E$2)"),"calarts")</f>
        <v>calarts</v>
      </c>
      <c r="E157" s="4"/>
      <c r="F157" s="4"/>
      <c r="G157" s="4"/>
      <c r="H157" s="4"/>
      <c r="I157" s="4"/>
      <c r="J157" s="4"/>
      <c r="K157" s="4"/>
      <c r="L157" s="4"/>
      <c r="M157" s="4"/>
      <c r="N157" s="4"/>
      <c r="O157" s="4"/>
      <c r="P157" s="4"/>
      <c r="Q157" s="4"/>
      <c r="R157" s="4"/>
      <c r="S157" s="4"/>
      <c r="T157" s="4"/>
      <c r="U157" s="4"/>
      <c r="V157" s="4"/>
      <c r="W157" s="4"/>
      <c r="X157" s="4"/>
      <c r="Y157" s="4"/>
      <c r="Z157" s="4"/>
    </row>
    <row r="158" spans="1:26" ht="15.75" customHeight="1" x14ac:dyDescent="0.2">
      <c r="A158" s="1" t="s">
        <v>313</v>
      </c>
      <c r="B158" s="1" t="s">
        <v>314</v>
      </c>
      <c r="C158" s="5" t="str">
        <f ca="1">IFERROR(__xludf.DUMMYFUNCTION("REGEXEXTRACT($B158, $E$2)"),"caltech")</f>
        <v>caltech</v>
      </c>
      <c r="E158" s="4"/>
      <c r="F158" s="4"/>
      <c r="G158" s="4"/>
      <c r="H158" s="4"/>
      <c r="I158" s="4"/>
      <c r="J158" s="4"/>
      <c r="K158" s="4"/>
      <c r="L158" s="4"/>
      <c r="M158" s="4"/>
      <c r="N158" s="4"/>
      <c r="O158" s="4"/>
      <c r="P158" s="4"/>
      <c r="Q158" s="4"/>
      <c r="R158" s="4"/>
      <c r="S158" s="4"/>
      <c r="T158" s="4"/>
      <c r="U158" s="4"/>
      <c r="V158" s="4"/>
      <c r="W158" s="4"/>
      <c r="X158" s="4"/>
      <c r="Y158" s="4"/>
      <c r="Z158" s="4"/>
    </row>
    <row r="159" spans="1:26" ht="15.75" customHeight="1" x14ac:dyDescent="0.2">
      <c r="A159" s="1" t="s">
        <v>315</v>
      </c>
      <c r="B159" s="1" t="s">
        <v>316</v>
      </c>
      <c r="C159" s="5" t="str">
        <f ca="1">IFERROR(__xludf.DUMMYFUNCTION("REGEXEXTRACT($B159, $E$2)"),"callutheran")</f>
        <v>callutheran</v>
      </c>
      <c r="E159" s="4"/>
      <c r="F159" s="4"/>
      <c r="G159" s="4"/>
      <c r="H159" s="4"/>
      <c r="I159" s="4"/>
      <c r="J159" s="4"/>
      <c r="K159" s="4"/>
      <c r="L159" s="4"/>
      <c r="M159" s="4"/>
      <c r="N159" s="4"/>
      <c r="O159" s="4"/>
      <c r="P159" s="4"/>
      <c r="Q159" s="4"/>
      <c r="R159" s="4"/>
      <c r="S159" s="4"/>
      <c r="T159" s="4"/>
      <c r="U159" s="4"/>
      <c r="V159" s="4"/>
      <c r="W159" s="4"/>
      <c r="X159" s="4"/>
      <c r="Y159" s="4"/>
      <c r="Z159" s="4"/>
    </row>
    <row r="160" spans="1:26" ht="15.75" customHeight="1" x14ac:dyDescent="0.2">
      <c r="A160" s="1" t="s">
        <v>317</v>
      </c>
      <c r="B160" s="1" t="s">
        <v>318</v>
      </c>
      <c r="C160" s="5" t="str">
        <f ca="1">IFERROR(__xludf.DUMMYFUNCTION("REGEXEXTRACT($B160, $E$2)"),"csum")</f>
        <v>csum</v>
      </c>
      <c r="E160" s="4"/>
      <c r="F160" s="4"/>
      <c r="G160" s="4"/>
      <c r="H160" s="4"/>
      <c r="I160" s="4"/>
      <c r="J160" s="4"/>
      <c r="K160" s="4"/>
      <c r="L160" s="4"/>
      <c r="M160" s="4"/>
      <c r="N160" s="4"/>
      <c r="O160" s="4"/>
      <c r="P160" s="4"/>
      <c r="Q160" s="4"/>
      <c r="R160" s="4"/>
      <c r="S160" s="4"/>
      <c r="T160" s="4"/>
      <c r="U160" s="4"/>
      <c r="V160" s="4"/>
      <c r="W160" s="4"/>
      <c r="X160" s="4"/>
      <c r="Y160" s="4"/>
      <c r="Z160" s="4"/>
    </row>
    <row r="161" spans="1:26" ht="15.75" customHeight="1" x14ac:dyDescent="0.2">
      <c r="A161" s="1" t="s">
        <v>319</v>
      </c>
      <c r="B161" s="1" t="s">
        <v>320</v>
      </c>
      <c r="C161" s="5" t="str">
        <f ca="1">IFERROR(__xludf.DUMMYFUNCTION("REGEXEXTRACT($B161, $E$2)"),"cpp")</f>
        <v>cpp</v>
      </c>
      <c r="E161" s="4"/>
      <c r="F161" s="4"/>
      <c r="G161" s="4"/>
      <c r="H161" s="4"/>
      <c r="I161" s="4"/>
      <c r="J161" s="4"/>
      <c r="K161" s="4"/>
      <c r="L161" s="4"/>
      <c r="M161" s="4"/>
      <c r="N161" s="4"/>
      <c r="O161" s="4"/>
      <c r="P161" s="4"/>
      <c r="Q161" s="4"/>
      <c r="R161" s="4"/>
      <c r="S161" s="4"/>
      <c r="T161" s="4"/>
      <c r="U161" s="4"/>
      <c r="V161" s="4"/>
      <c r="W161" s="4"/>
      <c r="X161" s="4"/>
      <c r="Y161" s="4"/>
      <c r="Z161" s="4"/>
    </row>
    <row r="162" spans="1:26" ht="15.75" customHeight="1" x14ac:dyDescent="0.2">
      <c r="A162" s="1" t="s">
        <v>321</v>
      </c>
      <c r="B162" s="1" t="s">
        <v>322</v>
      </c>
      <c r="C162" s="5" t="str">
        <f ca="1">IFERROR(__xludf.DUMMYFUNCTION("REGEXEXTRACT($B162, $E$2)"),"csub")</f>
        <v>csub</v>
      </c>
      <c r="E162" s="4"/>
      <c r="F162" s="4"/>
      <c r="G162" s="4"/>
      <c r="H162" s="4"/>
      <c r="I162" s="4"/>
      <c r="J162" s="4"/>
      <c r="K162" s="4"/>
      <c r="L162" s="4"/>
      <c r="M162" s="4"/>
      <c r="N162" s="4"/>
      <c r="O162" s="4"/>
      <c r="P162" s="4"/>
      <c r="Q162" s="4"/>
      <c r="R162" s="4"/>
      <c r="S162" s="4"/>
      <c r="T162" s="4"/>
      <c r="U162" s="4"/>
      <c r="V162" s="4"/>
      <c r="W162" s="4"/>
      <c r="X162" s="4"/>
      <c r="Y162" s="4"/>
      <c r="Z162" s="4"/>
    </row>
    <row r="163" spans="1:26" ht="15.75" customHeight="1" x14ac:dyDescent="0.2">
      <c r="A163" s="1" t="s">
        <v>323</v>
      </c>
      <c r="B163" s="1" t="s">
        <v>324</v>
      </c>
      <c r="C163" s="5" t="str">
        <f ca="1">IFERROR(__xludf.DUMMYFUNCTION("REGEXEXTRACT($B163, $E$2)"),"csuchico")</f>
        <v>csuchico</v>
      </c>
      <c r="E163" s="4"/>
      <c r="F163" s="4"/>
      <c r="G163" s="4"/>
      <c r="H163" s="4"/>
      <c r="I163" s="4"/>
      <c r="J163" s="4"/>
      <c r="K163" s="4"/>
      <c r="L163" s="4"/>
      <c r="M163" s="4"/>
      <c r="N163" s="4"/>
      <c r="O163" s="4"/>
      <c r="P163" s="4"/>
      <c r="Q163" s="4"/>
      <c r="R163" s="4"/>
      <c r="S163" s="4"/>
      <c r="T163" s="4"/>
      <c r="U163" s="4"/>
      <c r="V163" s="4"/>
      <c r="W163" s="4"/>
      <c r="X163" s="4"/>
      <c r="Y163" s="4"/>
      <c r="Z163" s="4"/>
    </row>
    <row r="164" spans="1:26" ht="15.75" customHeight="1" x14ac:dyDescent="0.2">
      <c r="A164" s="1" t="s">
        <v>325</v>
      </c>
      <c r="B164" s="1" t="s">
        <v>326</v>
      </c>
      <c r="C164" s="5" t="str">
        <f ca="1">IFERROR(__xludf.DUMMYFUNCTION("REGEXEXTRACT($B164, $E$2)"),"csudh")</f>
        <v>csudh</v>
      </c>
      <c r="E164" s="4"/>
      <c r="F164" s="4"/>
      <c r="G164" s="4"/>
      <c r="H164" s="4"/>
      <c r="I164" s="4"/>
      <c r="J164" s="4"/>
      <c r="K164" s="4"/>
      <c r="L164" s="4"/>
      <c r="M164" s="4"/>
      <c r="N164" s="4"/>
      <c r="O164" s="4"/>
      <c r="P164" s="4"/>
      <c r="Q164" s="4"/>
      <c r="R164" s="4"/>
      <c r="S164" s="4"/>
      <c r="T164" s="4"/>
      <c r="U164" s="4"/>
      <c r="V164" s="4"/>
      <c r="W164" s="4"/>
      <c r="X164" s="4"/>
      <c r="Y164" s="4"/>
      <c r="Z164" s="4"/>
    </row>
    <row r="165" spans="1:26" ht="15.75" customHeight="1" x14ac:dyDescent="0.2">
      <c r="A165" s="1" t="s">
        <v>327</v>
      </c>
      <c r="B165" s="1" t="s">
        <v>328</v>
      </c>
      <c r="C165" s="5" t="str">
        <f ca="1">IFERROR(__xludf.DUMMYFUNCTION("REGEXEXTRACT($B165, $E$2)"),"csueastbay")</f>
        <v>csueastbay</v>
      </c>
      <c r="E165" s="4"/>
      <c r="F165" s="4"/>
      <c r="G165" s="4"/>
      <c r="H165" s="4"/>
      <c r="I165" s="4"/>
      <c r="J165" s="4"/>
      <c r="K165" s="4"/>
      <c r="L165" s="4"/>
      <c r="M165" s="4"/>
      <c r="N165" s="4"/>
      <c r="O165" s="4"/>
      <c r="P165" s="4"/>
      <c r="Q165" s="4"/>
      <c r="R165" s="4"/>
      <c r="S165" s="4"/>
      <c r="T165" s="4"/>
      <c r="U165" s="4"/>
      <c r="V165" s="4"/>
      <c r="W165" s="4"/>
      <c r="X165" s="4"/>
      <c r="Y165" s="4"/>
      <c r="Z165" s="4"/>
    </row>
    <row r="166" spans="1:26" ht="15.75" customHeight="1" x14ac:dyDescent="0.2">
      <c r="A166" s="1" t="s">
        <v>329</v>
      </c>
      <c r="B166" s="1" t="s">
        <v>330</v>
      </c>
      <c r="C166" s="5" t="str">
        <f ca="1">IFERROR(__xludf.DUMMYFUNCTION("REGEXEXTRACT($B166, $E$2)"),"csufresno")</f>
        <v>csufresno</v>
      </c>
      <c r="E166" s="4"/>
      <c r="F166" s="4"/>
      <c r="G166" s="4"/>
      <c r="H166" s="4"/>
      <c r="I166" s="4"/>
      <c r="J166" s="4"/>
      <c r="K166" s="4"/>
      <c r="L166" s="4"/>
      <c r="M166" s="4"/>
      <c r="N166" s="4"/>
      <c r="O166" s="4"/>
      <c r="P166" s="4"/>
      <c r="Q166" s="4"/>
      <c r="R166" s="4"/>
      <c r="S166" s="4"/>
      <c r="T166" s="4"/>
      <c r="U166" s="4"/>
      <c r="V166" s="4"/>
      <c r="W166" s="4"/>
      <c r="X166" s="4"/>
      <c r="Y166" s="4"/>
      <c r="Z166" s="4"/>
    </row>
    <row r="167" spans="1:26" ht="15.75" customHeight="1" x14ac:dyDescent="0.2">
      <c r="A167" s="1" t="s">
        <v>331</v>
      </c>
      <c r="B167" s="1" t="s">
        <v>332</v>
      </c>
      <c r="C167" s="5" t="str">
        <f ca="1">IFERROR(__xludf.DUMMYFUNCTION("REGEXEXTRACT($B167, $E$2)"),"fullerton")</f>
        <v>fullerton</v>
      </c>
      <c r="E167" s="4"/>
      <c r="F167" s="4"/>
      <c r="G167" s="4"/>
      <c r="H167" s="4"/>
      <c r="I167" s="4"/>
      <c r="J167" s="4"/>
      <c r="K167" s="4"/>
      <c r="L167" s="4"/>
      <c r="M167" s="4"/>
      <c r="N167" s="4"/>
      <c r="O167" s="4"/>
      <c r="P167" s="4"/>
      <c r="Q167" s="4"/>
      <c r="R167" s="4"/>
      <c r="S167" s="4"/>
      <c r="T167" s="4"/>
      <c r="U167" s="4"/>
      <c r="V167" s="4"/>
      <c r="W167" s="4"/>
      <c r="X167" s="4"/>
      <c r="Y167" s="4"/>
      <c r="Z167" s="4"/>
    </row>
    <row r="168" spans="1:26" ht="15.75" customHeight="1" x14ac:dyDescent="0.2">
      <c r="A168" s="1" t="s">
        <v>333</v>
      </c>
      <c r="B168" s="1" t="s">
        <v>334</v>
      </c>
      <c r="C168" s="5" t="str">
        <f ca="1">IFERROR(__xludf.DUMMYFUNCTION("REGEXEXTRACT($B168, $E$2)"),"csulb")</f>
        <v>csulb</v>
      </c>
      <c r="E168" s="4"/>
      <c r="F168" s="4"/>
      <c r="G168" s="4"/>
      <c r="H168" s="4"/>
      <c r="I168" s="4"/>
      <c r="J168" s="4"/>
      <c r="K168" s="4"/>
      <c r="L168" s="4"/>
      <c r="M168" s="4"/>
      <c r="N168" s="4"/>
      <c r="O168" s="4"/>
      <c r="P168" s="4"/>
      <c r="Q168" s="4"/>
      <c r="R168" s="4"/>
      <c r="S168" s="4"/>
      <c r="T168" s="4"/>
      <c r="U168" s="4"/>
      <c r="V168" s="4"/>
      <c r="W168" s="4"/>
      <c r="X168" s="4"/>
      <c r="Y168" s="4"/>
      <c r="Z168" s="4"/>
    </row>
    <row r="169" spans="1:26" ht="15.75" customHeight="1" x14ac:dyDescent="0.2">
      <c r="A169" s="1" t="s">
        <v>335</v>
      </c>
      <c r="B169" s="1" t="s">
        <v>336</v>
      </c>
      <c r="C169" s="5" t="str">
        <f ca="1">IFERROR(__xludf.DUMMYFUNCTION("REGEXEXTRACT($B169, $E$2)"),"calstatela")</f>
        <v>calstatela</v>
      </c>
      <c r="E169" s="4"/>
      <c r="F169" s="4"/>
      <c r="G169" s="4"/>
      <c r="H169" s="4"/>
      <c r="I169" s="4"/>
      <c r="J169" s="4"/>
      <c r="K169" s="4"/>
      <c r="L169" s="4"/>
      <c r="M169" s="4"/>
      <c r="N169" s="4"/>
      <c r="O169" s="4"/>
      <c r="P169" s="4"/>
      <c r="Q169" s="4"/>
      <c r="R169" s="4"/>
      <c r="S169" s="4"/>
      <c r="T169" s="4"/>
      <c r="U169" s="4"/>
      <c r="V169" s="4"/>
      <c r="W169" s="4"/>
      <c r="X169" s="4"/>
      <c r="Y169" s="4"/>
      <c r="Z169" s="4"/>
    </row>
    <row r="170" spans="1:26" ht="15.75" customHeight="1" x14ac:dyDescent="0.2">
      <c r="A170" s="1" t="s">
        <v>337</v>
      </c>
      <c r="B170" s="1" t="s">
        <v>338</v>
      </c>
      <c r="C170" s="5" t="str">
        <f ca="1">IFERROR(__xludf.DUMMYFUNCTION("REGEXEXTRACT($B170, $E$2)"),"csumb")</f>
        <v>csumb</v>
      </c>
      <c r="E170" s="4"/>
      <c r="F170" s="4"/>
      <c r="G170" s="4"/>
      <c r="H170" s="4"/>
      <c r="I170" s="4"/>
      <c r="J170" s="4"/>
      <c r="K170" s="4"/>
      <c r="L170" s="4"/>
      <c r="M170" s="4"/>
      <c r="N170" s="4"/>
      <c r="O170" s="4"/>
      <c r="P170" s="4"/>
      <c r="Q170" s="4"/>
      <c r="R170" s="4"/>
      <c r="S170" s="4"/>
      <c r="T170" s="4"/>
      <c r="U170" s="4"/>
      <c r="V170" s="4"/>
      <c r="W170" s="4"/>
      <c r="X170" s="4"/>
      <c r="Y170" s="4"/>
      <c r="Z170" s="4"/>
    </row>
    <row r="171" spans="1:26" ht="15.75" customHeight="1" x14ac:dyDescent="0.2">
      <c r="A171" s="1" t="s">
        <v>339</v>
      </c>
      <c r="B171" s="1" t="s">
        <v>340</v>
      </c>
      <c r="C171" s="5" t="str">
        <f ca="1">IFERROR(__xludf.DUMMYFUNCTION("REGEXEXTRACT($B171, $E$2)"),"csun")</f>
        <v>csun</v>
      </c>
      <c r="E171" s="4"/>
      <c r="F171" s="4"/>
      <c r="G171" s="4"/>
      <c r="H171" s="4"/>
      <c r="I171" s="4"/>
      <c r="J171" s="4"/>
      <c r="K171" s="4"/>
      <c r="L171" s="4"/>
      <c r="M171" s="4"/>
      <c r="N171" s="4"/>
      <c r="O171" s="4"/>
      <c r="P171" s="4"/>
      <c r="Q171" s="4"/>
      <c r="R171" s="4"/>
      <c r="S171" s="4"/>
      <c r="T171" s="4"/>
      <c r="U171" s="4"/>
      <c r="V171" s="4"/>
      <c r="W171" s="4"/>
      <c r="X171" s="4"/>
      <c r="Y171" s="4"/>
      <c r="Z171" s="4"/>
    </row>
    <row r="172" spans="1:26" ht="15.75" customHeight="1" x14ac:dyDescent="0.2">
      <c r="A172" s="1" t="s">
        <v>341</v>
      </c>
      <c r="B172" s="1" t="s">
        <v>342</v>
      </c>
      <c r="C172" s="5" t="str">
        <f ca="1">IFERROR(__xludf.DUMMYFUNCTION("REGEXEXTRACT($B172, $E$2)"),"csus")</f>
        <v>csus</v>
      </c>
      <c r="E172" s="4"/>
      <c r="F172" s="4"/>
      <c r="G172" s="4"/>
      <c r="H172" s="4"/>
      <c r="I172" s="4"/>
      <c r="J172" s="4"/>
      <c r="K172" s="4"/>
      <c r="L172" s="4"/>
      <c r="M172" s="4"/>
      <c r="N172" s="4"/>
      <c r="O172" s="4"/>
      <c r="P172" s="4"/>
      <c r="Q172" s="4"/>
      <c r="R172" s="4"/>
      <c r="S172" s="4"/>
      <c r="T172" s="4"/>
      <c r="U172" s="4"/>
      <c r="V172" s="4"/>
      <c r="W172" s="4"/>
      <c r="X172" s="4"/>
      <c r="Y172" s="4"/>
      <c r="Z172" s="4"/>
    </row>
    <row r="173" spans="1:26" ht="15.75" customHeight="1" x14ac:dyDescent="0.2">
      <c r="A173" s="1" t="s">
        <v>343</v>
      </c>
      <c r="B173" s="1" t="s">
        <v>344</v>
      </c>
      <c r="C173" s="5" t="str">
        <f ca="1">IFERROR(__xludf.DUMMYFUNCTION("REGEXEXTRACT($B173, $E$2)"),"csusb")</f>
        <v>csusb</v>
      </c>
      <c r="E173" s="4"/>
      <c r="F173" s="4"/>
      <c r="G173" s="4"/>
      <c r="H173" s="4"/>
      <c r="I173" s="4"/>
      <c r="J173" s="4"/>
      <c r="K173" s="4"/>
      <c r="L173" s="4"/>
      <c r="M173" s="4"/>
      <c r="N173" s="4"/>
      <c r="O173" s="4"/>
      <c r="P173" s="4"/>
      <c r="Q173" s="4"/>
      <c r="R173" s="4"/>
      <c r="S173" s="4"/>
      <c r="T173" s="4"/>
      <c r="U173" s="4"/>
      <c r="V173" s="4"/>
      <c r="W173" s="4"/>
      <c r="X173" s="4"/>
      <c r="Y173" s="4"/>
      <c r="Z173" s="4"/>
    </row>
    <row r="174" spans="1:26" ht="15.75" customHeight="1" x14ac:dyDescent="0.2">
      <c r="A174" s="1" t="s">
        <v>345</v>
      </c>
      <c r="B174" s="1" t="s">
        <v>346</v>
      </c>
      <c r="C174" s="5" t="str">
        <f ca="1">IFERROR(__xludf.DUMMYFUNCTION("REGEXEXTRACT($B174, $E$2)"),"csusm")</f>
        <v>csusm</v>
      </c>
      <c r="E174" s="4"/>
      <c r="F174" s="4"/>
      <c r="G174" s="4"/>
      <c r="H174" s="4"/>
      <c r="I174" s="4"/>
      <c r="J174" s="4"/>
      <c r="K174" s="4"/>
      <c r="L174" s="4"/>
      <c r="M174" s="4"/>
      <c r="N174" s="4"/>
      <c r="O174" s="4"/>
      <c r="P174" s="4"/>
      <c r="Q174" s="4"/>
      <c r="R174" s="4"/>
      <c r="S174" s="4"/>
      <c r="T174" s="4"/>
      <c r="U174" s="4"/>
      <c r="V174" s="4"/>
      <c r="W174" s="4"/>
      <c r="X174" s="4"/>
      <c r="Y174" s="4"/>
      <c r="Z174" s="4"/>
    </row>
    <row r="175" spans="1:26" ht="15.75" customHeight="1" x14ac:dyDescent="0.2">
      <c r="A175" s="1" t="s">
        <v>347</v>
      </c>
      <c r="B175" s="1" t="s">
        <v>348</v>
      </c>
      <c r="C175" s="5" t="str">
        <f ca="1">IFERROR(__xludf.DUMMYFUNCTION("REGEXEXTRACT($B175, $E$2)"),"csustan")</f>
        <v>csustan</v>
      </c>
      <c r="E175" s="4"/>
      <c r="F175" s="4"/>
      <c r="G175" s="4"/>
      <c r="H175" s="4"/>
      <c r="I175" s="4"/>
      <c r="J175" s="4"/>
      <c r="K175" s="4"/>
      <c r="L175" s="4"/>
      <c r="M175" s="4"/>
      <c r="N175" s="4"/>
      <c r="O175" s="4"/>
      <c r="P175" s="4"/>
      <c r="Q175" s="4"/>
      <c r="R175" s="4"/>
      <c r="S175" s="4"/>
      <c r="T175" s="4"/>
      <c r="U175" s="4"/>
      <c r="V175" s="4"/>
      <c r="W175" s="4"/>
      <c r="X175" s="4"/>
      <c r="Y175" s="4"/>
      <c r="Z175" s="4"/>
    </row>
    <row r="176" spans="1:26" ht="15.75" customHeight="1" x14ac:dyDescent="0.2">
      <c r="A176" s="1" t="s">
        <v>349</v>
      </c>
      <c r="B176" s="1" t="s">
        <v>350</v>
      </c>
      <c r="C176" s="5" t="str">
        <f ca="1">IFERROR(__xludf.DUMMYFUNCTION("REGEXEXTRACT($B176, $E$2)"),"calu")</f>
        <v>calu</v>
      </c>
      <c r="E176" s="4"/>
      <c r="F176" s="4"/>
      <c r="G176" s="4"/>
      <c r="H176" s="4"/>
      <c r="I176" s="4"/>
      <c r="J176" s="4"/>
      <c r="K176" s="4"/>
      <c r="L176" s="4"/>
      <c r="M176" s="4"/>
      <c r="N176" s="4"/>
      <c r="O176" s="4"/>
      <c r="P176" s="4"/>
      <c r="Q176" s="4"/>
      <c r="R176" s="4"/>
      <c r="S176" s="4"/>
      <c r="T176" s="4"/>
      <c r="U176" s="4"/>
      <c r="V176" s="4"/>
      <c r="W176" s="4"/>
      <c r="X176" s="4"/>
      <c r="Y176" s="4"/>
      <c r="Z176" s="4"/>
    </row>
    <row r="177" spans="1:26" ht="15.75" customHeight="1" x14ac:dyDescent="0.2">
      <c r="A177" s="1" t="s">
        <v>351</v>
      </c>
      <c r="B177" s="1" t="s">
        <v>352</v>
      </c>
      <c r="C177" s="5" t="str">
        <f ca="1">IFERROR(__xludf.DUMMYFUNCTION("REGEXEXTRACT($B177, $E$2)"),"ccsj")</f>
        <v>ccsj</v>
      </c>
      <c r="E177" s="4"/>
      <c r="F177" s="4"/>
      <c r="G177" s="4"/>
      <c r="H177" s="4"/>
      <c r="I177" s="4"/>
      <c r="J177" s="4"/>
      <c r="K177" s="4"/>
      <c r="L177" s="4"/>
      <c r="M177" s="4"/>
      <c r="N177" s="4"/>
      <c r="O177" s="4"/>
      <c r="P177" s="4"/>
      <c r="Q177" s="4"/>
      <c r="R177" s="4"/>
      <c r="S177" s="4"/>
      <c r="T177" s="4"/>
      <c r="U177" s="4"/>
      <c r="V177" s="4"/>
      <c r="W177" s="4"/>
      <c r="X177" s="4"/>
      <c r="Y177" s="4"/>
      <c r="Z177" s="4"/>
    </row>
    <row r="178" spans="1:26" ht="15.75" customHeight="1" x14ac:dyDescent="0.2">
      <c r="A178" s="1" t="s">
        <v>353</v>
      </c>
      <c r="B178" s="1" t="s">
        <v>354</v>
      </c>
      <c r="C178" s="5" t="str">
        <f ca="1">IFERROR(__xludf.DUMMYFUNCTION("REGEXEXTRACT($B178, $E$2)"),"calvary")</f>
        <v>calvary</v>
      </c>
      <c r="E178" s="4"/>
      <c r="F178" s="4"/>
      <c r="G178" s="4"/>
      <c r="H178" s="4"/>
      <c r="I178" s="4"/>
      <c r="J178" s="4"/>
      <c r="K178" s="4"/>
      <c r="L178" s="4"/>
      <c r="M178" s="4"/>
      <c r="N178" s="4"/>
      <c r="O178" s="4"/>
      <c r="P178" s="4"/>
      <c r="Q178" s="4"/>
      <c r="R178" s="4"/>
      <c r="S178" s="4"/>
      <c r="T178" s="4"/>
      <c r="U178" s="4"/>
      <c r="V178" s="4"/>
      <c r="W178" s="4"/>
      <c r="X178" s="4"/>
      <c r="Y178" s="4"/>
      <c r="Z178" s="4"/>
    </row>
    <row r="179" spans="1:26" ht="15.75" customHeight="1" x14ac:dyDescent="0.2">
      <c r="A179" s="1" t="s">
        <v>355</v>
      </c>
      <c r="B179" s="1" t="s">
        <v>356</v>
      </c>
      <c r="C179" s="5" t="str">
        <f ca="1">IFERROR(__xludf.DUMMYFUNCTION("REGEXEXTRACT($B179, $E$2)"),"calvin")</f>
        <v>calvin</v>
      </c>
      <c r="E179" s="4"/>
      <c r="F179" s="4"/>
      <c r="G179" s="4"/>
      <c r="H179" s="4"/>
      <c r="I179" s="4"/>
      <c r="J179" s="4"/>
      <c r="K179" s="4"/>
      <c r="L179" s="4"/>
      <c r="M179" s="4"/>
      <c r="N179" s="4"/>
      <c r="O179" s="4"/>
      <c r="P179" s="4"/>
      <c r="Q179" s="4"/>
      <c r="R179" s="4"/>
      <c r="S179" s="4"/>
      <c r="T179" s="4"/>
      <c r="U179" s="4"/>
      <c r="V179" s="4"/>
      <c r="W179" s="4"/>
      <c r="X179" s="4"/>
      <c r="Y179" s="4"/>
      <c r="Z179" s="4"/>
    </row>
    <row r="180" spans="1:26" ht="15.75" customHeight="1" x14ac:dyDescent="0.2">
      <c r="A180" s="1" t="s">
        <v>357</v>
      </c>
      <c r="B180" s="1" t="s">
        <v>358</v>
      </c>
      <c r="C180" s="5" t="str">
        <f ca="1">IFERROR(__xludf.DUMMYFUNCTION("REGEXEXTRACT($B180, $E$2)"),"cambridgecollege")</f>
        <v>cambridgecollege</v>
      </c>
      <c r="E180" s="4"/>
      <c r="F180" s="4"/>
      <c r="G180" s="4"/>
      <c r="H180" s="4"/>
      <c r="I180" s="4"/>
      <c r="J180" s="4"/>
      <c r="K180" s="4"/>
      <c r="L180" s="4"/>
      <c r="M180" s="4"/>
      <c r="N180" s="4"/>
      <c r="O180" s="4"/>
      <c r="P180" s="4"/>
      <c r="Q180" s="4"/>
      <c r="R180" s="4"/>
      <c r="S180" s="4"/>
      <c r="T180" s="4"/>
      <c r="U180" s="4"/>
      <c r="V180" s="4"/>
      <c r="W180" s="4"/>
      <c r="X180" s="4"/>
      <c r="Y180" s="4"/>
      <c r="Z180" s="4"/>
    </row>
    <row r="181" spans="1:26" ht="15.75" customHeight="1" x14ac:dyDescent="0.2">
      <c r="A181" s="1" t="s">
        <v>359</v>
      </c>
      <c r="B181" s="1" t="s">
        <v>360</v>
      </c>
      <c r="C181" s="5" t="str">
        <f ca="1">IFERROR(__xludf.DUMMYFUNCTION("REGEXEXTRACT($B181, $E$2)"),"cameron")</f>
        <v>cameron</v>
      </c>
      <c r="E181" s="4"/>
      <c r="F181" s="4"/>
      <c r="G181" s="4"/>
      <c r="H181" s="4"/>
      <c r="I181" s="4"/>
      <c r="J181" s="4"/>
      <c r="K181" s="4"/>
      <c r="L181" s="4"/>
      <c r="M181" s="4"/>
      <c r="N181" s="4"/>
      <c r="O181" s="4"/>
      <c r="P181" s="4"/>
      <c r="Q181" s="4"/>
      <c r="R181" s="4"/>
      <c r="S181" s="4"/>
      <c r="T181" s="4"/>
      <c r="U181" s="4"/>
      <c r="V181" s="4"/>
      <c r="W181" s="4"/>
      <c r="X181" s="4"/>
      <c r="Y181" s="4"/>
      <c r="Z181" s="4"/>
    </row>
    <row r="182" spans="1:26" ht="15.75" customHeight="1" x14ac:dyDescent="0.2">
      <c r="A182" s="1" t="s">
        <v>361</v>
      </c>
      <c r="B182" s="1" t="s">
        <v>362</v>
      </c>
      <c r="C182" s="5" t="str">
        <f ca="1">IFERROR(__xludf.DUMMYFUNCTION("REGEXEXTRACT($B182, $E$2)"),"campbellsville")</f>
        <v>campbellsville</v>
      </c>
      <c r="E182" s="4"/>
      <c r="F182" s="4"/>
      <c r="G182" s="4"/>
      <c r="H182" s="4"/>
      <c r="I182" s="4"/>
      <c r="J182" s="4"/>
      <c r="K182" s="4"/>
      <c r="L182" s="4"/>
      <c r="M182" s="4"/>
      <c r="N182" s="4"/>
      <c r="O182" s="4"/>
      <c r="P182" s="4"/>
      <c r="Q182" s="4"/>
      <c r="R182" s="4"/>
      <c r="S182" s="4"/>
      <c r="T182" s="4"/>
      <c r="U182" s="4"/>
      <c r="V182" s="4"/>
      <c r="W182" s="4"/>
      <c r="X182" s="4"/>
      <c r="Y182" s="4"/>
      <c r="Z182" s="4"/>
    </row>
    <row r="183" spans="1:26" ht="15.75" customHeight="1" x14ac:dyDescent="0.2">
      <c r="A183" s="1" t="s">
        <v>363</v>
      </c>
      <c r="B183" s="1" t="s">
        <v>364</v>
      </c>
      <c r="C183" s="5" t="str">
        <f ca="1">IFERROR(__xludf.DUMMYFUNCTION("REGEXEXTRACT($B183, $E$2)"),"canisius")</f>
        <v>canisius</v>
      </c>
      <c r="E183" s="4"/>
      <c r="F183" s="4"/>
      <c r="G183" s="4"/>
      <c r="H183" s="4"/>
      <c r="I183" s="4"/>
      <c r="J183" s="4"/>
      <c r="K183" s="4"/>
      <c r="L183" s="4"/>
      <c r="M183" s="4"/>
      <c r="N183" s="4"/>
      <c r="O183" s="4"/>
      <c r="P183" s="4"/>
      <c r="Q183" s="4"/>
      <c r="R183" s="4"/>
      <c r="S183" s="4"/>
      <c r="T183" s="4"/>
      <c r="U183" s="4"/>
      <c r="V183" s="4"/>
      <c r="W183" s="4"/>
      <c r="X183" s="4"/>
      <c r="Y183" s="4"/>
      <c r="Z183" s="4"/>
    </row>
    <row r="184" spans="1:26" ht="15.75" customHeight="1" x14ac:dyDescent="0.2">
      <c r="A184" s="1" t="s">
        <v>365</v>
      </c>
      <c r="B184" s="1" t="s">
        <v>366</v>
      </c>
      <c r="C184" s="5" t="str">
        <f ca="1">IFERROR(__xludf.DUMMYFUNCTION("REGEXEXTRACT($B184, $E$2)"),"capital")</f>
        <v>capital</v>
      </c>
      <c r="E184" s="4"/>
      <c r="F184" s="4"/>
      <c r="G184" s="4"/>
      <c r="H184" s="4"/>
      <c r="I184" s="4"/>
      <c r="J184" s="4"/>
      <c r="K184" s="4"/>
      <c r="L184" s="4"/>
      <c r="M184" s="4"/>
      <c r="N184" s="4"/>
      <c r="O184" s="4"/>
      <c r="P184" s="4"/>
      <c r="Q184" s="4"/>
      <c r="R184" s="4"/>
      <c r="S184" s="4"/>
      <c r="T184" s="4"/>
      <c r="U184" s="4"/>
      <c r="V184" s="4"/>
      <c r="W184" s="4"/>
      <c r="X184" s="4"/>
      <c r="Y184" s="4"/>
      <c r="Z184" s="4"/>
    </row>
    <row r="185" spans="1:26" ht="15.75" customHeight="1" x14ac:dyDescent="0.2">
      <c r="A185" s="1" t="s">
        <v>367</v>
      </c>
      <c r="B185" s="1" t="s">
        <v>368</v>
      </c>
      <c r="C185" s="5" t="str">
        <f ca="1">IFERROR(__xludf.DUMMYFUNCTION("REGEXEXTRACT($B185, $E$2)"),"captechu")</f>
        <v>captechu</v>
      </c>
      <c r="E185" s="4"/>
      <c r="F185" s="4"/>
      <c r="G185" s="4"/>
      <c r="H185" s="4"/>
      <c r="I185" s="4"/>
      <c r="J185" s="4"/>
      <c r="K185" s="4"/>
      <c r="L185" s="4"/>
      <c r="M185" s="4"/>
      <c r="N185" s="4"/>
      <c r="O185" s="4"/>
      <c r="P185" s="4"/>
      <c r="Q185" s="4"/>
      <c r="R185" s="4"/>
      <c r="S185" s="4"/>
      <c r="T185" s="4"/>
      <c r="U185" s="4"/>
      <c r="V185" s="4"/>
      <c r="W185" s="4"/>
      <c r="X185" s="4"/>
      <c r="Y185" s="4"/>
      <c r="Z185" s="4"/>
    </row>
    <row r="186" spans="1:26" ht="15.75" customHeight="1" x14ac:dyDescent="0.2">
      <c r="A186" s="1" t="s">
        <v>369</v>
      </c>
      <c r="B186" s="1" t="s">
        <v>370</v>
      </c>
      <c r="C186" s="5" t="str">
        <f ca="1">IFERROR(__xludf.DUMMYFUNCTION("REGEXEXTRACT($B186, $E$2)"),"stritch")</f>
        <v>stritch</v>
      </c>
      <c r="E186" s="4"/>
      <c r="F186" s="4"/>
      <c r="G186" s="4"/>
      <c r="H186" s="4"/>
      <c r="I186" s="4"/>
      <c r="J186" s="4"/>
      <c r="K186" s="4"/>
      <c r="L186" s="4"/>
      <c r="M186" s="4"/>
      <c r="N186" s="4"/>
      <c r="O186" s="4"/>
      <c r="P186" s="4"/>
      <c r="Q186" s="4"/>
      <c r="R186" s="4"/>
      <c r="S186" s="4"/>
      <c r="T186" s="4"/>
      <c r="U186" s="4"/>
      <c r="V186" s="4"/>
      <c r="W186" s="4"/>
      <c r="X186" s="4"/>
      <c r="Y186" s="4"/>
      <c r="Z186" s="4"/>
    </row>
    <row r="187" spans="1:26" ht="15.75" customHeight="1" x14ac:dyDescent="0.2">
      <c r="A187" s="1" t="s">
        <v>371</v>
      </c>
      <c r="B187" s="1" t="s">
        <v>372</v>
      </c>
      <c r="C187" s="5" t="str">
        <f ca="1">IFERROR(__xludf.DUMMYFUNCTION("REGEXEXTRACT($B187, $E$2)"),"caribbean")</f>
        <v>caribbean</v>
      </c>
      <c r="E187" s="4"/>
      <c r="F187" s="4"/>
      <c r="G187" s="4"/>
      <c r="H187" s="4"/>
      <c r="I187" s="4"/>
      <c r="J187" s="4"/>
      <c r="K187" s="4"/>
      <c r="L187" s="4"/>
      <c r="M187" s="4"/>
      <c r="N187" s="4"/>
      <c r="O187" s="4"/>
      <c r="P187" s="4"/>
      <c r="Q187" s="4"/>
      <c r="R187" s="4"/>
      <c r="S187" s="4"/>
      <c r="T187" s="4"/>
      <c r="U187" s="4"/>
      <c r="V187" s="4"/>
      <c r="W187" s="4"/>
      <c r="X187" s="4"/>
      <c r="Y187" s="4"/>
      <c r="Z187" s="4"/>
    </row>
    <row r="188" spans="1:26" ht="15.75" customHeight="1" x14ac:dyDescent="0.2">
      <c r="A188" s="1" t="s">
        <v>373</v>
      </c>
      <c r="B188" s="1" t="s">
        <v>374</v>
      </c>
      <c r="C188" s="5" t="str">
        <f ca="1">IFERROR(__xludf.DUMMYFUNCTION("REGEXEXTRACT($B188, $E$2)"),"carleton")</f>
        <v>carleton</v>
      </c>
      <c r="E188" s="4"/>
      <c r="F188" s="4"/>
      <c r="G188" s="4"/>
      <c r="H188" s="4"/>
      <c r="I188" s="4"/>
      <c r="J188" s="4"/>
      <c r="K188" s="4"/>
      <c r="L188" s="4"/>
      <c r="M188" s="4"/>
      <c r="N188" s="4"/>
      <c r="O188" s="4"/>
      <c r="P188" s="4"/>
      <c r="Q188" s="4"/>
      <c r="R188" s="4"/>
      <c r="S188" s="4"/>
      <c r="T188" s="4"/>
      <c r="U188" s="4"/>
      <c r="V188" s="4"/>
      <c r="W188" s="4"/>
      <c r="X188" s="4"/>
      <c r="Y188" s="4"/>
      <c r="Z188" s="4"/>
    </row>
    <row r="189" spans="1:26" ht="15.75" customHeight="1" x14ac:dyDescent="0.2">
      <c r="A189" s="1" t="s">
        <v>375</v>
      </c>
      <c r="B189" s="1" t="s">
        <v>376</v>
      </c>
      <c r="C189" s="5" t="str">
        <f ca="1">IFERROR(__xludf.DUMMYFUNCTION("REGEXEXTRACT($B189, $E$2)"),"carlow")</f>
        <v>carlow</v>
      </c>
      <c r="E189" s="4"/>
      <c r="F189" s="4"/>
      <c r="G189" s="4"/>
      <c r="H189" s="4"/>
      <c r="I189" s="4"/>
      <c r="J189" s="4"/>
      <c r="K189" s="4"/>
      <c r="L189" s="4"/>
      <c r="M189" s="4"/>
      <c r="N189" s="4"/>
      <c r="O189" s="4"/>
      <c r="P189" s="4"/>
      <c r="Q189" s="4"/>
      <c r="R189" s="4"/>
      <c r="S189" s="4"/>
      <c r="T189" s="4"/>
      <c r="U189" s="4"/>
      <c r="V189" s="4"/>
      <c r="W189" s="4"/>
      <c r="X189" s="4"/>
      <c r="Y189" s="4"/>
      <c r="Z189" s="4"/>
    </row>
    <row r="190" spans="1:26" ht="15.75" customHeight="1" x14ac:dyDescent="0.2">
      <c r="A190" s="1" t="s">
        <v>377</v>
      </c>
      <c r="B190" s="1" t="s">
        <v>378</v>
      </c>
      <c r="C190" s="5" t="str">
        <f ca="1">IFERROR(__xludf.DUMMYFUNCTION("REGEXEXTRACT($B190, $E$2)"),"carroll")</f>
        <v>carroll</v>
      </c>
      <c r="E190" s="4"/>
      <c r="F190" s="4"/>
      <c r="G190" s="4"/>
      <c r="H190" s="4"/>
      <c r="I190" s="4"/>
      <c r="J190" s="4"/>
      <c r="K190" s="4"/>
      <c r="L190" s="4"/>
      <c r="M190" s="4"/>
      <c r="N190" s="4"/>
      <c r="O190" s="4"/>
      <c r="P190" s="4"/>
      <c r="Q190" s="4"/>
      <c r="R190" s="4"/>
      <c r="S190" s="4"/>
      <c r="T190" s="4"/>
      <c r="U190" s="4"/>
      <c r="V190" s="4"/>
      <c r="W190" s="4"/>
      <c r="X190" s="4"/>
      <c r="Y190" s="4"/>
      <c r="Z190" s="4"/>
    </row>
    <row r="191" spans="1:26" ht="15.75" customHeight="1" x14ac:dyDescent="0.2">
      <c r="A191" s="1" t="s">
        <v>379</v>
      </c>
      <c r="B191" s="1" t="s">
        <v>380</v>
      </c>
      <c r="C191" s="5" t="str">
        <f ca="1">IFERROR(__xludf.DUMMYFUNCTION("REGEXEXTRACT($B191, $E$2)"),"carrollu")</f>
        <v>carrollu</v>
      </c>
      <c r="E191" s="4"/>
      <c r="F191" s="4"/>
      <c r="G191" s="4"/>
      <c r="H191" s="4"/>
      <c r="I191" s="4"/>
      <c r="J191" s="4"/>
      <c r="K191" s="4"/>
      <c r="L191" s="4"/>
      <c r="M191" s="4"/>
      <c r="N191" s="4"/>
      <c r="O191" s="4"/>
      <c r="P191" s="4"/>
      <c r="Q191" s="4"/>
      <c r="R191" s="4"/>
      <c r="S191" s="4"/>
      <c r="T191" s="4"/>
      <c r="U191" s="4"/>
      <c r="V191" s="4"/>
      <c r="W191" s="4"/>
      <c r="X191" s="4"/>
      <c r="Y191" s="4"/>
      <c r="Z191" s="4"/>
    </row>
    <row r="192" spans="1:26" ht="15.75" customHeight="1" x14ac:dyDescent="0.2">
      <c r="A192" s="1" t="s">
        <v>381</v>
      </c>
      <c r="B192" s="1" t="s">
        <v>382</v>
      </c>
      <c r="C192" s="5" t="str">
        <f ca="1">IFERROR(__xludf.DUMMYFUNCTION("REGEXEXTRACT($B192, $E$2)"),"cn")</f>
        <v>cn</v>
      </c>
      <c r="E192" s="4"/>
      <c r="F192" s="4"/>
      <c r="G192" s="4"/>
      <c r="H192" s="4"/>
      <c r="I192" s="4"/>
      <c r="J192" s="4"/>
      <c r="K192" s="4"/>
      <c r="L192" s="4"/>
      <c r="M192" s="4"/>
      <c r="N192" s="4"/>
      <c r="O192" s="4"/>
      <c r="P192" s="4"/>
      <c r="Q192" s="4"/>
      <c r="R192" s="4"/>
      <c r="S192" s="4"/>
      <c r="T192" s="4"/>
      <c r="U192" s="4"/>
      <c r="V192" s="4"/>
      <c r="W192" s="4"/>
      <c r="X192" s="4"/>
      <c r="Y192" s="4"/>
      <c r="Z192" s="4"/>
    </row>
    <row r="193" spans="1:26" ht="15.75" customHeight="1" x14ac:dyDescent="0.2">
      <c r="A193" s="1" t="s">
        <v>383</v>
      </c>
      <c r="B193" s="1" t="s">
        <v>384</v>
      </c>
      <c r="C193" s="5" t="str">
        <f ca="1">IFERROR(__xludf.DUMMYFUNCTION("REGEXEXTRACT($B193, $E$2)"),"carthage")</f>
        <v>carthage</v>
      </c>
      <c r="E193" s="4"/>
      <c r="F193" s="4"/>
      <c r="G193" s="4"/>
      <c r="H193" s="4"/>
      <c r="I193" s="4"/>
      <c r="J193" s="4"/>
      <c r="K193" s="4"/>
      <c r="L193" s="4"/>
      <c r="M193" s="4"/>
      <c r="N193" s="4"/>
      <c r="O193" s="4"/>
      <c r="P193" s="4"/>
      <c r="Q193" s="4"/>
      <c r="R193" s="4"/>
      <c r="S193" s="4"/>
      <c r="T193" s="4"/>
      <c r="U193" s="4"/>
      <c r="V193" s="4"/>
      <c r="W193" s="4"/>
      <c r="X193" s="4"/>
      <c r="Y193" s="4"/>
      <c r="Z193" s="4"/>
    </row>
    <row r="194" spans="1:26" ht="15.75" customHeight="1" x14ac:dyDescent="0.2">
      <c r="A194" s="1" t="s">
        <v>385</v>
      </c>
      <c r="B194" s="1" t="s">
        <v>386</v>
      </c>
      <c r="C194" s="5" t="str">
        <f ca="1">IFERROR(__xludf.DUMMYFUNCTION("REGEXEXTRACT($B194, $E$2)"),"case")</f>
        <v>case</v>
      </c>
      <c r="E194" s="4"/>
      <c r="F194" s="4"/>
      <c r="G194" s="4"/>
      <c r="H194" s="4"/>
      <c r="I194" s="4"/>
      <c r="J194" s="4"/>
      <c r="K194" s="4"/>
      <c r="L194" s="4"/>
      <c r="M194" s="4"/>
      <c r="N194" s="4"/>
      <c r="O194" s="4"/>
      <c r="P194" s="4"/>
      <c r="Q194" s="4"/>
      <c r="R194" s="4"/>
      <c r="S194" s="4"/>
      <c r="T194" s="4"/>
      <c r="U194" s="4"/>
      <c r="V194" s="4"/>
      <c r="W194" s="4"/>
      <c r="X194" s="4"/>
      <c r="Y194" s="4"/>
      <c r="Z194" s="4"/>
    </row>
    <row r="195" spans="1:26" ht="15.75" customHeight="1" x14ac:dyDescent="0.2">
      <c r="A195" s="1" t="s">
        <v>387</v>
      </c>
      <c r="B195" s="1" t="s">
        <v>388</v>
      </c>
      <c r="C195" s="5" t="str">
        <f ca="1">IFERROR(__xludf.DUMMYFUNCTION("REGEXEXTRACT($B195, $E$2)"),"castleton")</f>
        <v>castleton</v>
      </c>
      <c r="E195" s="4"/>
      <c r="F195" s="4"/>
      <c r="G195" s="4"/>
      <c r="H195" s="4"/>
      <c r="I195" s="4"/>
      <c r="J195" s="4"/>
      <c r="K195" s="4"/>
      <c r="L195" s="4"/>
      <c r="M195" s="4"/>
      <c r="N195" s="4"/>
      <c r="O195" s="4"/>
      <c r="P195" s="4"/>
      <c r="Q195" s="4"/>
      <c r="R195" s="4"/>
      <c r="S195" s="4"/>
      <c r="T195" s="4"/>
      <c r="U195" s="4"/>
      <c r="V195" s="4"/>
      <c r="W195" s="4"/>
      <c r="X195" s="4"/>
      <c r="Y195" s="4"/>
      <c r="Z195" s="4"/>
    </row>
    <row r="196" spans="1:26" ht="15.75" customHeight="1" x14ac:dyDescent="0.2">
      <c r="A196" s="1" t="s">
        <v>389</v>
      </c>
      <c r="B196" s="1" t="s">
        <v>390</v>
      </c>
      <c r="C196" s="5" t="str">
        <f ca="1">IFERROR(__xludf.DUMMYFUNCTION("REGEXEXTRACT($B196, $E$2)"),"catawba")</f>
        <v>catawba</v>
      </c>
      <c r="E196" s="4"/>
      <c r="F196" s="4"/>
      <c r="G196" s="4"/>
      <c r="H196" s="4"/>
      <c r="I196" s="4"/>
      <c r="J196" s="4"/>
      <c r="K196" s="4"/>
      <c r="L196" s="4"/>
      <c r="M196" s="4"/>
      <c r="N196" s="4"/>
      <c r="O196" s="4"/>
      <c r="P196" s="4"/>
      <c r="Q196" s="4"/>
      <c r="R196" s="4"/>
      <c r="S196" s="4"/>
      <c r="T196" s="4"/>
      <c r="U196" s="4"/>
      <c r="V196" s="4"/>
      <c r="W196" s="4"/>
      <c r="X196" s="4"/>
      <c r="Y196" s="4"/>
      <c r="Z196" s="4"/>
    </row>
    <row r="197" spans="1:26" ht="15.75" customHeight="1" x14ac:dyDescent="0.2">
      <c r="A197" s="1" t="s">
        <v>391</v>
      </c>
      <c r="B197" s="1" t="s">
        <v>392</v>
      </c>
      <c r="C197" s="5" t="str">
        <f ca="1">IFERROR(__xludf.DUMMYFUNCTION("REGEXEXTRACT($B197, $E$2)"),"cua")</f>
        <v>cua</v>
      </c>
      <c r="E197" s="4"/>
      <c r="F197" s="4"/>
      <c r="G197" s="4"/>
      <c r="H197" s="4"/>
      <c r="I197" s="4"/>
      <c r="J197" s="4"/>
      <c r="K197" s="4"/>
      <c r="L197" s="4"/>
      <c r="M197" s="4"/>
      <c r="N197" s="4"/>
      <c r="O197" s="4"/>
      <c r="P197" s="4"/>
      <c r="Q197" s="4"/>
      <c r="R197" s="4"/>
      <c r="S197" s="4"/>
      <c r="T197" s="4"/>
      <c r="U197" s="4"/>
      <c r="V197" s="4"/>
      <c r="W197" s="4"/>
      <c r="X197" s="4"/>
      <c r="Y197" s="4"/>
      <c r="Z197" s="4"/>
    </row>
    <row r="198" spans="1:26" ht="15.75" customHeight="1" x14ac:dyDescent="0.2">
      <c r="A198" s="1" t="s">
        <v>393</v>
      </c>
      <c r="B198" s="1" t="s">
        <v>394</v>
      </c>
      <c r="C198" s="5" t="str">
        <f ca="1">IFERROR(__xludf.DUMMYFUNCTION("REGEXEXTRACT($B198, $E$2)"),"cazenovia")</f>
        <v>cazenovia</v>
      </c>
      <c r="E198" s="4"/>
      <c r="F198" s="4"/>
      <c r="G198" s="4"/>
      <c r="H198" s="4"/>
      <c r="I198" s="4"/>
      <c r="J198" s="4"/>
      <c r="K198" s="4"/>
      <c r="L198" s="4"/>
      <c r="M198" s="4"/>
      <c r="N198" s="4"/>
      <c r="O198" s="4"/>
      <c r="P198" s="4"/>
      <c r="Q198" s="4"/>
      <c r="R198" s="4"/>
      <c r="S198" s="4"/>
      <c r="T198" s="4"/>
      <c r="U198" s="4"/>
      <c r="V198" s="4"/>
      <c r="W198" s="4"/>
      <c r="X198" s="4"/>
      <c r="Y198" s="4"/>
      <c r="Z198" s="4"/>
    </row>
    <row r="199" spans="1:26" ht="15.75" customHeight="1" x14ac:dyDescent="0.2">
      <c r="A199" s="1" t="s">
        <v>395</v>
      </c>
      <c r="B199" s="1" t="s">
        <v>396</v>
      </c>
      <c r="C199" s="5" t="str">
        <f ca="1">IFERROR(__xludf.DUMMYFUNCTION("REGEXEXTRACT($B199, $E$2)"),"cedarcrest")</f>
        <v>cedarcrest</v>
      </c>
      <c r="E199" s="4"/>
      <c r="F199" s="4"/>
      <c r="G199" s="4"/>
      <c r="H199" s="4"/>
      <c r="I199" s="4"/>
      <c r="J199" s="4"/>
      <c r="K199" s="4"/>
      <c r="L199" s="4"/>
      <c r="M199" s="4"/>
      <c r="N199" s="4"/>
      <c r="O199" s="4"/>
      <c r="P199" s="4"/>
      <c r="Q199" s="4"/>
      <c r="R199" s="4"/>
      <c r="S199" s="4"/>
      <c r="T199" s="4"/>
      <c r="U199" s="4"/>
      <c r="V199" s="4"/>
      <c r="W199" s="4"/>
      <c r="X199" s="4"/>
      <c r="Y199" s="4"/>
      <c r="Z199" s="4"/>
    </row>
    <row r="200" spans="1:26" ht="15.75" customHeight="1" x14ac:dyDescent="0.2">
      <c r="A200" s="1" t="s">
        <v>397</v>
      </c>
      <c r="B200" s="1" t="s">
        <v>398</v>
      </c>
      <c r="C200" s="5" t="str">
        <f ca="1">IFERROR(__xludf.DUMMYFUNCTION("REGEXEXTRACT($B200, $E$2)"),"cedarville")</f>
        <v>cedarville</v>
      </c>
      <c r="E200" s="4"/>
      <c r="F200" s="4"/>
      <c r="G200" s="4"/>
      <c r="H200" s="4"/>
      <c r="I200" s="4"/>
      <c r="J200" s="4"/>
      <c r="K200" s="4"/>
      <c r="L200" s="4"/>
      <c r="M200" s="4"/>
      <c r="N200" s="4"/>
      <c r="O200" s="4"/>
      <c r="P200" s="4"/>
      <c r="Q200" s="4"/>
      <c r="R200" s="4"/>
      <c r="S200" s="4"/>
      <c r="T200" s="4"/>
      <c r="U200" s="4"/>
      <c r="V200" s="4"/>
      <c r="W200" s="4"/>
      <c r="X200" s="4"/>
      <c r="Y200" s="4"/>
      <c r="Z200" s="4"/>
    </row>
    <row r="201" spans="1:26" ht="15.75" customHeight="1" x14ac:dyDescent="0.2">
      <c r="A201" s="1" t="s">
        <v>399</v>
      </c>
      <c r="B201" s="1" t="s">
        <v>400</v>
      </c>
      <c r="C201" s="5" t="str">
        <f ca="1">IFERROR(__xludf.DUMMYFUNCTION("REGEXEXTRACT($B201, $E$2)"),"centenary")</f>
        <v>centenary</v>
      </c>
      <c r="E201" s="4"/>
      <c r="F201" s="4"/>
      <c r="G201" s="4"/>
      <c r="H201" s="4"/>
      <c r="I201" s="4"/>
      <c r="J201" s="4"/>
      <c r="K201" s="4"/>
      <c r="L201" s="4"/>
      <c r="M201" s="4"/>
      <c r="N201" s="4"/>
      <c r="O201" s="4"/>
      <c r="P201" s="4"/>
      <c r="Q201" s="4"/>
      <c r="R201" s="4"/>
      <c r="S201" s="4"/>
      <c r="T201" s="4"/>
      <c r="U201" s="4"/>
      <c r="V201" s="4"/>
      <c r="W201" s="4"/>
      <c r="X201" s="4"/>
      <c r="Y201" s="4"/>
      <c r="Z201" s="4"/>
    </row>
    <row r="202" spans="1:26" ht="15.75" customHeight="1" x14ac:dyDescent="0.2">
      <c r="A202" s="1" t="s">
        <v>401</v>
      </c>
      <c r="B202" s="1" t="s">
        <v>402</v>
      </c>
      <c r="C202" s="5" t="str">
        <f ca="1">IFERROR(__xludf.DUMMYFUNCTION("REGEXEXTRACT($B202, $E$2)"),"centenaryuniversity")</f>
        <v>centenaryuniversity</v>
      </c>
      <c r="E202" s="4"/>
      <c r="F202" s="4"/>
      <c r="G202" s="4"/>
      <c r="H202" s="4"/>
      <c r="I202" s="4"/>
      <c r="J202" s="4"/>
      <c r="K202" s="4"/>
      <c r="L202" s="4"/>
      <c r="M202" s="4"/>
      <c r="N202" s="4"/>
      <c r="O202" s="4"/>
      <c r="P202" s="4"/>
      <c r="Q202" s="4"/>
      <c r="R202" s="4"/>
      <c r="S202" s="4"/>
      <c r="T202" s="4"/>
      <c r="U202" s="4"/>
      <c r="V202" s="4"/>
      <c r="W202" s="4"/>
      <c r="X202" s="4"/>
      <c r="Y202" s="4"/>
      <c r="Z202" s="4"/>
    </row>
    <row r="203" spans="1:26" ht="15.75" customHeight="1" x14ac:dyDescent="0.2">
      <c r="A203" s="1" t="s">
        <v>403</v>
      </c>
      <c r="B203" s="1" t="s">
        <v>404</v>
      </c>
      <c r="C203" s="5" t="str">
        <f ca="1">IFERROR(__xludf.DUMMYFUNCTION("REGEXEXTRACT($B203, $E$2)"),"centralchristian")</f>
        <v>centralchristian</v>
      </c>
      <c r="E203" s="4"/>
      <c r="F203" s="4"/>
      <c r="G203" s="4"/>
      <c r="H203" s="4"/>
      <c r="I203" s="4"/>
      <c r="J203" s="4"/>
      <c r="K203" s="4"/>
      <c r="L203" s="4"/>
      <c r="M203" s="4"/>
      <c r="N203" s="4"/>
      <c r="O203" s="4"/>
      <c r="P203" s="4"/>
      <c r="Q203" s="4"/>
      <c r="R203" s="4"/>
      <c r="S203" s="4"/>
      <c r="T203" s="4"/>
      <c r="U203" s="4"/>
      <c r="V203" s="4"/>
      <c r="W203" s="4"/>
      <c r="X203" s="4"/>
      <c r="Y203" s="4"/>
      <c r="Z203" s="4"/>
    </row>
    <row r="204" spans="1:26" ht="15.75" customHeight="1" x14ac:dyDescent="0.2">
      <c r="A204" s="1" t="s">
        <v>405</v>
      </c>
      <c r="B204" s="1" t="s">
        <v>406</v>
      </c>
      <c r="C204" s="5" t="str">
        <f ca="1">IFERROR(__xludf.DUMMYFUNCTION("REGEXEXTRACT($B204, $E$2)"),"central")</f>
        <v>central</v>
      </c>
      <c r="E204" s="4"/>
      <c r="F204" s="4"/>
      <c r="G204" s="4"/>
      <c r="H204" s="4"/>
      <c r="I204" s="4"/>
      <c r="J204" s="4"/>
      <c r="K204" s="4"/>
      <c r="L204" s="4"/>
      <c r="M204" s="4"/>
      <c r="N204" s="4"/>
      <c r="O204" s="4"/>
      <c r="P204" s="4"/>
      <c r="Q204" s="4"/>
      <c r="R204" s="4"/>
      <c r="S204" s="4"/>
      <c r="T204" s="4"/>
      <c r="U204" s="4"/>
      <c r="V204" s="4"/>
      <c r="W204" s="4"/>
      <c r="X204" s="4"/>
      <c r="Y204" s="4"/>
      <c r="Z204" s="4"/>
    </row>
    <row r="205" spans="1:26" ht="15.75" customHeight="1" x14ac:dyDescent="0.2">
      <c r="A205" s="1" t="s">
        <v>407</v>
      </c>
      <c r="B205" s="1" t="s">
        <v>408</v>
      </c>
      <c r="C205" s="5" t="str">
        <f ca="1">IFERROR(__xludf.DUMMYFUNCTION("REGEXEXTRACT($B205, $E$2)"),"ccsu")</f>
        <v>ccsu</v>
      </c>
      <c r="E205" s="4"/>
      <c r="F205" s="4"/>
      <c r="G205" s="4"/>
      <c r="H205" s="4"/>
      <c r="I205" s="4"/>
      <c r="J205" s="4"/>
      <c r="K205" s="4"/>
      <c r="L205" s="4"/>
      <c r="M205" s="4"/>
      <c r="N205" s="4"/>
      <c r="O205" s="4"/>
      <c r="P205" s="4"/>
      <c r="Q205" s="4"/>
      <c r="R205" s="4"/>
      <c r="S205" s="4"/>
      <c r="T205" s="4"/>
      <c r="U205" s="4"/>
      <c r="V205" s="4"/>
      <c r="W205" s="4"/>
      <c r="X205" s="4"/>
      <c r="Y205" s="4"/>
      <c r="Z205" s="4"/>
    </row>
    <row r="206" spans="1:26" ht="15.75" customHeight="1" x14ac:dyDescent="0.2">
      <c r="A206" s="1" t="s">
        <v>409</v>
      </c>
      <c r="B206" s="1" t="s">
        <v>410</v>
      </c>
      <c r="C206" s="5" t="str">
        <f ca="1">IFERROR(__xludf.DUMMYFUNCTION("REGEXEXTRACT($B206, $E$2)"),"centralmethodist")</f>
        <v>centralmethodist</v>
      </c>
      <c r="E206" s="4"/>
      <c r="F206" s="4"/>
      <c r="G206" s="4"/>
      <c r="H206" s="4"/>
      <c r="I206" s="4"/>
      <c r="J206" s="4"/>
      <c r="K206" s="4"/>
      <c r="L206" s="4"/>
      <c r="M206" s="4"/>
      <c r="N206" s="4"/>
      <c r="O206" s="4"/>
      <c r="P206" s="4"/>
      <c r="Q206" s="4"/>
      <c r="R206" s="4"/>
      <c r="S206" s="4"/>
      <c r="T206" s="4"/>
      <c r="U206" s="4"/>
      <c r="V206" s="4"/>
      <c r="W206" s="4"/>
      <c r="X206" s="4"/>
      <c r="Y206" s="4"/>
      <c r="Z206" s="4"/>
    </row>
    <row r="207" spans="1:26" ht="15.75" customHeight="1" x14ac:dyDescent="0.2">
      <c r="A207" s="1" t="s">
        <v>411</v>
      </c>
      <c r="B207" s="1" t="s">
        <v>412</v>
      </c>
      <c r="C207" s="5" t="str">
        <f ca="1">IFERROR(__xludf.DUMMYFUNCTION("REGEXEXTRACT($B207, $E$2)"),"cmich")</f>
        <v>cmich</v>
      </c>
      <c r="E207" s="4"/>
      <c r="F207" s="4"/>
      <c r="G207" s="4"/>
      <c r="H207" s="4"/>
      <c r="I207" s="4"/>
      <c r="J207" s="4"/>
      <c r="K207" s="4"/>
      <c r="L207" s="4"/>
      <c r="M207" s="4"/>
      <c r="N207" s="4"/>
      <c r="O207" s="4"/>
      <c r="P207" s="4"/>
      <c r="Q207" s="4"/>
      <c r="R207" s="4"/>
      <c r="S207" s="4"/>
      <c r="T207" s="4"/>
      <c r="U207" s="4"/>
      <c r="V207" s="4"/>
      <c r="W207" s="4"/>
      <c r="X207" s="4"/>
      <c r="Y207" s="4"/>
      <c r="Z207" s="4"/>
    </row>
    <row r="208" spans="1:26" ht="15.75" customHeight="1" x14ac:dyDescent="0.2">
      <c r="A208" s="1" t="s">
        <v>413</v>
      </c>
      <c r="B208" s="1" t="s">
        <v>414</v>
      </c>
      <c r="C208" s="5" t="str">
        <f ca="1">IFERROR(__xludf.DUMMYFUNCTION("REGEXEXTRACT($B208, $E$2)"),"centralpenn")</f>
        <v>centralpenn</v>
      </c>
      <c r="E208" s="4"/>
      <c r="F208" s="4"/>
      <c r="G208" s="4"/>
      <c r="H208" s="4"/>
      <c r="I208" s="4"/>
      <c r="J208" s="4"/>
      <c r="K208" s="4"/>
      <c r="L208" s="4"/>
      <c r="M208" s="4"/>
      <c r="N208" s="4"/>
      <c r="O208" s="4"/>
      <c r="P208" s="4"/>
      <c r="Q208" s="4"/>
      <c r="R208" s="4"/>
      <c r="S208" s="4"/>
      <c r="T208" s="4"/>
      <c r="U208" s="4"/>
      <c r="V208" s="4"/>
      <c r="W208" s="4"/>
      <c r="X208" s="4"/>
      <c r="Y208" s="4"/>
      <c r="Z208" s="4"/>
    </row>
    <row r="209" spans="1:26" ht="15.75" customHeight="1" x14ac:dyDescent="0.2">
      <c r="A209" s="1" t="s">
        <v>415</v>
      </c>
      <c r="B209" s="1" t="s">
        <v>416</v>
      </c>
      <c r="C209" s="5" t="str">
        <f ca="1">IFERROR(__xludf.DUMMYFUNCTION("REGEXEXTRACT($B209, $E$2)"),"centralstate")</f>
        <v>centralstate</v>
      </c>
      <c r="E209" s="4"/>
      <c r="F209" s="4"/>
      <c r="G209" s="4"/>
      <c r="H209" s="4"/>
      <c r="I209" s="4"/>
      <c r="J209" s="4"/>
      <c r="K209" s="4"/>
      <c r="L209" s="4"/>
      <c r="M209" s="4"/>
      <c r="N209" s="4"/>
      <c r="O209" s="4"/>
      <c r="P209" s="4"/>
      <c r="Q209" s="4"/>
      <c r="R209" s="4"/>
      <c r="S209" s="4"/>
      <c r="T209" s="4"/>
      <c r="U209" s="4"/>
      <c r="V209" s="4"/>
      <c r="W209" s="4"/>
      <c r="X209" s="4"/>
      <c r="Y209" s="4"/>
      <c r="Z209" s="4"/>
    </row>
    <row r="210" spans="1:26" ht="15.75" customHeight="1" x14ac:dyDescent="0.2">
      <c r="A210" s="1" t="s">
        <v>417</v>
      </c>
      <c r="B210" s="1" t="s">
        <v>418</v>
      </c>
      <c r="C210" s="5" t="str">
        <f ca="1">IFERROR(__xludf.DUMMYFUNCTION("REGEXEXTRACT($B210, $E$2)"),"cwu")</f>
        <v>cwu</v>
      </c>
      <c r="E210" s="4"/>
      <c r="F210" s="4"/>
      <c r="G210" s="4"/>
      <c r="H210" s="4"/>
      <c r="I210" s="4"/>
      <c r="J210" s="4"/>
      <c r="K210" s="4"/>
      <c r="L210" s="4"/>
      <c r="M210" s="4"/>
      <c r="N210" s="4"/>
      <c r="O210" s="4"/>
      <c r="P210" s="4"/>
      <c r="Q210" s="4"/>
      <c r="R210" s="4"/>
      <c r="S210" s="4"/>
      <c r="T210" s="4"/>
      <c r="U210" s="4"/>
      <c r="V210" s="4"/>
      <c r="W210" s="4"/>
      <c r="X210" s="4"/>
      <c r="Y210" s="4"/>
      <c r="Z210" s="4"/>
    </row>
    <row r="211" spans="1:26" ht="15.75" customHeight="1" x14ac:dyDescent="0.2">
      <c r="A211" s="1" t="s">
        <v>419</v>
      </c>
      <c r="B211" s="1" t="s">
        <v>420</v>
      </c>
      <c r="C211" s="5" t="str">
        <f ca="1">IFERROR(__xludf.DUMMYFUNCTION("REGEXEXTRACT($B211, $E$2)"),"centre")</f>
        <v>centre</v>
      </c>
      <c r="E211" s="4"/>
      <c r="F211" s="4"/>
      <c r="G211" s="4"/>
      <c r="H211" s="4"/>
      <c r="I211" s="4"/>
      <c r="J211" s="4"/>
      <c r="K211" s="4"/>
      <c r="L211" s="4"/>
      <c r="M211" s="4"/>
      <c r="N211" s="4"/>
      <c r="O211" s="4"/>
      <c r="P211" s="4"/>
      <c r="Q211" s="4"/>
      <c r="R211" s="4"/>
      <c r="S211" s="4"/>
      <c r="T211" s="4"/>
      <c r="U211" s="4"/>
      <c r="V211" s="4"/>
      <c r="W211" s="4"/>
      <c r="X211" s="4"/>
      <c r="Y211" s="4"/>
      <c r="Z211" s="4"/>
    </row>
    <row r="212" spans="1:26" ht="15.75" customHeight="1" x14ac:dyDescent="0.2">
      <c r="A212" s="1" t="s">
        <v>421</v>
      </c>
      <c r="B212" s="1" t="s">
        <v>422</v>
      </c>
      <c r="C212" s="5" t="str">
        <f ca="1">IFERROR(__xludf.DUMMYFUNCTION("REGEXEXTRACT($B212, $E$2)"),"csc")</f>
        <v>csc</v>
      </c>
      <c r="E212" s="4"/>
      <c r="F212" s="4"/>
      <c r="G212" s="4"/>
      <c r="H212" s="4"/>
      <c r="I212" s="4"/>
      <c r="J212" s="4"/>
      <c r="K212" s="4"/>
      <c r="L212" s="4"/>
      <c r="M212" s="4"/>
      <c r="N212" s="4"/>
      <c r="O212" s="4"/>
      <c r="P212" s="4"/>
      <c r="Q212" s="4"/>
      <c r="R212" s="4"/>
      <c r="S212" s="4"/>
      <c r="T212" s="4"/>
      <c r="U212" s="4"/>
      <c r="V212" s="4"/>
      <c r="W212" s="4"/>
      <c r="X212" s="4"/>
      <c r="Y212" s="4"/>
      <c r="Z212" s="4"/>
    </row>
    <row r="213" spans="1:26" ht="15.75" customHeight="1" x14ac:dyDescent="0.2">
      <c r="A213" s="1" t="s">
        <v>423</v>
      </c>
      <c r="B213" s="1" t="s">
        <v>424</v>
      </c>
      <c r="C213" s="5" t="str">
        <f ca="1">IFERROR(__xludf.DUMMYFUNCTION("REGEXEXTRACT($B213, $E$2)"),"chaminade")</f>
        <v>chaminade</v>
      </c>
      <c r="E213" s="4"/>
      <c r="F213" s="4"/>
      <c r="G213" s="4"/>
      <c r="H213" s="4"/>
      <c r="I213" s="4"/>
      <c r="J213" s="4"/>
      <c r="K213" s="4"/>
      <c r="L213" s="4"/>
      <c r="M213" s="4"/>
      <c r="N213" s="4"/>
      <c r="O213" s="4"/>
      <c r="P213" s="4"/>
      <c r="Q213" s="4"/>
      <c r="R213" s="4"/>
      <c r="S213" s="4"/>
      <c r="T213" s="4"/>
      <c r="U213" s="4"/>
      <c r="V213" s="4"/>
      <c r="W213" s="4"/>
      <c r="X213" s="4"/>
      <c r="Y213" s="4"/>
      <c r="Z213" s="4"/>
    </row>
    <row r="214" spans="1:26" ht="15.75" customHeight="1" x14ac:dyDescent="0.2">
      <c r="A214" s="1" t="s">
        <v>425</v>
      </c>
      <c r="B214" s="1" t="s">
        <v>426</v>
      </c>
      <c r="C214" s="5" t="str">
        <f ca="1">IFERROR(__xludf.DUMMYFUNCTION("REGEXEXTRACT($B214, $E$2)"),"champlain")</f>
        <v>champlain</v>
      </c>
      <c r="E214" s="4"/>
      <c r="F214" s="4"/>
      <c r="G214" s="4"/>
      <c r="H214" s="4"/>
      <c r="I214" s="4"/>
      <c r="J214" s="4"/>
      <c r="K214" s="4"/>
      <c r="L214" s="4"/>
      <c r="M214" s="4"/>
      <c r="N214" s="4"/>
      <c r="O214" s="4"/>
      <c r="P214" s="4"/>
      <c r="Q214" s="4"/>
      <c r="R214" s="4"/>
      <c r="S214" s="4"/>
      <c r="T214" s="4"/>
      <c r="U214" s="4"/>
      <c r="V214" s="4"/>
      <c r="W214" s="4"/>
      <c r="X214" s="4"/>
      <c r="Y214" s="4"/>
      <c r="Z214" s="4"/>
    </row>
    <row r="215" spans="1:26" ht="15.75" customHeight="1" x14ac:dyDescent="0.2">
      <c r="A215" s="1" t="s">
        <v>427</v>
      </c>
      <c r="B215" s="1" t="s">
        <v>428</v>
      </c>
      <c r="C215" s="5" t="str">
        <f ca="1">IFERROR(__xludf.DUMMYFUNCTION("REGEXEXTRACT($B215, $E$2)"),"chapman")</f>
        <v>chapman</v>
      </c>
      <c r="E215" s="4"/>
      <c r="F215" s="4"/>
      <c r="G215" s="4"/>
      <c r="H215" s="4"/>
      <c r="I215" s="4"/>
      <c r="J215" s="4"/>
      <c r="K215" s="4"/>
      <c r="L215" s="4"/>
      <c r="M215" s="4"/>
      <c r="N215" s="4"/>
      <c r="O215" s="4"/>
      <c r="P215" s="4"/>
      <c r="Q215" s="4"/>
      <c r="R215" s="4"/>
      <c r="S215" s="4"/>
      <c r="T215" s="4"/>
      <c r="U215" s="4"/>
      <c r="V215" s="4"/>
      <c r="W215" s="4"/>
      <c r="X215" s="4"/>
      <c r="Y215" s="4"/>
      <c r="Z215" s="4"/>
    </row>
    <row r="216" spans="1:26" ht="15.75" customHeight="1" x14ac:dyDescent="0.2">
      <c r="A216" s="1" t="s">
        <v>429</v>
      </c>
      <c r="B216" s="1" t="s">
        <v>430</v>
      </c>
      <c r="C216" s="5" t="str">
        <f ca="1">IFERROR(__xludf.DUMMYFUNCTION("REGEXEXTRACT($B216, $E$2)"),"cdrewu")</f>
        <v>cdrewu</v>
      </c>
      <c r="E216" s="4"/>
      <c r="F216" s="4"/>
      <c r="G216" s="4"/>
      <c r="H216" s="4"/>
      <c r="I216" s="4"/>
      <c r="J216" s="4"/>
      <c r="K216" s="4"/>
      <c r="L216" s="4"/>
      <c r="M216" s="4"/>
      <c r="N216" s="4"/>
      <c r="O216" s="4"/>
      <c r="P216" s="4"/>
      <c r="Q216" s="4"/>
      <c r="R216" s="4"/>
      <c r="S216" s="4"/>
      <c r="T216" s="4"/>
      <c r="U216" s="4"/>
      <c r="V216" s="4"/>
      <c r="W216" s="4"/>
      <c r="X216" s="4"/>
      <c r="Y216" s="4"/>
      <c r="Z216" s="4"/>
    </row>
    <row r="217" spans="1:26" ht="15.75" customHeight="1" x14ac:dyDescent="0.2">
      <c r="A217" s="1" t="s">
        <v>431</v>
      </c>
      <c r="B217" s="1" t="s">
        <v>432</v>
      </c>
      <c r="C217" s="5" t="str">
        <f ca="1">IFERROR(__xludf.DUMMYFUNCTION("REGEXEXTRACT($B217, $E$2)"),"csuniv")</f>
        <v>csuniv</v>
      </c>
      <c r="E217" s="4"/>
      <c r="F217" s="4"/>
      <c r="G217" s="4"/>
      <c r="H217" s="4"/>
      <c r="I217" s="4"/>
      <c r="J217" s="4"/>
      <c r="K217" s="4"/>
      <c r="L217" s="4"/>
      <c r="M217" s="4"/>
      <c r="N217" s="4"/>
      <c r="O217" s="4"/>
      <c r="P217" s="4"/>
      <c r="Q217" s="4"/>
      <c r="R217" s="4"/>
      <c r="S217" s="4"/>
      <c r="T217" s="4"/>
      <c r="U217" s="4"/>
      <c r="V217" s="4"/>
      <c r="W217" s="4"/>
      <c r="X217" s="4"/>
      <c r="Y217" s="4"/>
      <c r="Z217" s="4"/>
    </row>
    <row r="218" spans="1:26" ht="15.75" customHeight="1" x14ac:dyDescent="0.2">
      <c r="A218" s="1" t="s">
        <v>433</v>
      </c>
      <c r="B218" s="1" t="s">
        <v>434</v>
      </c>
      <c r="C218" s="5" t="str">
        <f ca="1">IFERROR(__xludf.DUMMYFUNCTION("REGEXEXTRACT($B218, $E$2)"),"charteroak")</f>
        <v>charteroak</v>
      </c>
      <c r="E218" s="4"/>
      <c r="F218" s="4"/>
      <c r="G218" s="4"/>
      <c r="H218" s="4"/>
      <c r="I218" s="4"/>
      <c r="J218" s="4"/>
      <c r="K218" s="4"/>
      <c r="L218" s="4"/>
      <c r="M218" s="4"/>
      <c r="N218" s="4"/>
      <c r="O218" s="4"/>
      <c r="P218" s="4"/>
      <c r="Q218" s="4"/>
      <c r="R218" s="4"/>
      <c r="S218" s="4"/>
      <c r="T218" s="4"/>
      <c r="U218" s="4"/>
      <c r="V218" s="4"/>
      <c r="W218" s="4"/>
      <c r="X218" s="4"/>
      <c r="Y218" s="4"/>
      <c r="Z218" s="4"/>
    </row>
    <row r="219" spans="1:26" ht="15.75" customHeight="1" x14ac:dyDescent="0.2">
      <c r="A219" s="1" t="s">
        <v>435</v>
      </c>
      <c r="B219" s="1" t="s">
        <v>436</v>
      </c>
      <c r="C219" s="5" t="str">
        <f ca="1">IFERROR(__xludf.DUMMYFUNCTION("REGEXEXTRACT($B219, $E$2)"),"chatham")</f>
        <v>chatham</v>
      </c>
      <c r="E219" s="4"/>
      <c r="F219" s="4"/>
      <c r="G219" s="4"/>
      <c r="H219" s="4"/>
      <c r="I219" s="4"/>
      <c r="J219" s="4"/>
      <c r="K219" s="4"/>
      <c r="L219" s="4"/>
      <c r="M219" s="4"/>
      <c r="N219" s="4"/>
      <c r="O219" s="4"/>
      <c r="P219" s="4"/>
      <c r="Q219" s="4"/>
      <c r="R219" s="4"/>
      <c r="S219" s="4"/>
      <c r="T219" s="4"/>
      <c r="U219" s="4"/>
      <c r="V219" s="4"/>
      <c r="W219" s="4"/>
      <c r="X219" s="4"/>
      <c r="Y219" s="4"/>
      <c r="Z219" s="4"/>
    </row>
    <row r="220" spans="1:26" ht="15.75" customHeight="1" x14ac:dyDescent="0.2">
      <c r="A220" s="1" t="s">
        <v>437</v>
      </c>
      <c r="B220" s="1" t="s">
        <v>438</v>
      </c>
      <c r="C220" s="5" t="str">
        <f ca="1">IFERROR(__xludf.DUMMYFUNCTION("REGEXEXTRACT($B220, $E$2)"),"chc")</f>
        <v>chc</v>
      </c>
      <c r="E220" s="4"/>
      <c r="F220" s="4"/>
      <c r="G220" s="4"/>
      <c r="H220" s="4"/>
      <c r="I220" s="4"/>
      <c r="J220" s="4"/>
      <c r="K220" s="4"/>
      <c r="L220" s="4"/>
      <c r="M220" s="4"/>
      <c r="N220" s="4"/>
      <c r="O220" s="4"/>
      <c r="P220" s="4"/>
      <c r="Q220" s="4"/>
      <c r="R220" s="4"/>
      <c r="S220" s="4"/>
      <c r="T220" s="4"/>
      <c r="U220" s="4"/>
      <c r="V220" s="4"/>
      <c r="W220" s="4"/>
      <c r="X220" s="4"/>
      <c r="Y220" s="4"/>
      <c r="Z220" s="4"/>
    </row>
    <row r="221" spans="1:26" ht="15.75" customHeight="1" x14ac:dyDescent="0.2">
      <c r="A221" s="1" t="s">
        <v>439</v>
      </c>
      <c r="B221" s="1" t="s">
        <v>440</v>
      </c>
      <c r="C221" s="5" t="str">
        <f ca="1">IFERROR(__xludf.DUMMYFUNCTION("REGEXEXTRACT($B221, $E$2)"),"cheyney")</f>
        <v>cheyney</v>
      </c>
      <c r="E221" s="4"/>
      <c r="F221" s="4"/>
      <c r="G221" s="4"/>
      <c r="H221" s="4"/>
      <c r="I221" s="4"/>
      <c r="J221" s="4"/>
      <c r="K221" s="4"/>
      <c r="L221" s="4"/>
      <c r="M221" s="4"/>
      <c r="N221" s="4"/>
      <c r="O221" s="4"/>
      <c r="P221" s="4"/>
      <c r="Q221" s="4"/>
      <c r="R221" s="4"/>
      <c r="S221" s="4"/>
      <c r="T221" s="4"/>
      <c r="U221" s="4"/>
      <c r="V221" s="4"/>
      <c r="W221" s="4"/>
      <c r="X221" s="4"/>
      <c r="Y221" s="4"/>
      <c r="Z221" s="4"/>
    </row>
    <row r="222" spans="1:26" ht="15.75" customHeight="1" x14ac:dyDescent="0.2">
      <c r="A222" s="1" t="s">
        <v>441</v>
      </c>
      <c r="B222" s="1" t="s">
        <v>442</v>
      </c>
      <c r="C222" s="5" t="str">
        <f ca="1">IFERROR(__xludf.DUMMYFUNCTION("REGEXEXTRACT($B222, $E$2)"),"csu")</f>
        <v>csu</v>
      </c>
      <c r="E222" s="4"/>
      <c r="F222" s="4"/>
      <c r="G222" s="4"/>
      <c r="H222" s="4"/>
      <c r="I222" s="4"/>
      <c r="J222" s="4"/>
      <c r="K222" s="4"/>
      <c r="L222" s="4"/>
      <c r="M222" s="4"/>
      <c r="N222" s="4"/>
      <c r="O222" s="4"/>
      <c r="P222" s="4"/>
      <c r="Q222" s="4"/>
      <c r="R222" s="4"/>
      <c r="S222" s="4"/>
      <c r="T222" s="4"/>
      <c r="U222" s="4"/>
      <c r="V222" s="4"/>
      <c r="W222" s="4"/>
      <c r="X222" s="4"/>
      <c r="Y222" s="4"/>
      <c r="Z222" s="4"/>
    </row>
    <row r="223" spans="1:26" ht="15.75" customHeight="1" x14ac:dyDescent="0.2">
      <c r="A223" s="1" t="s">
        <v>443</v>
      </c>
      <c r="B223" s="1" t="s">
        <v>444</v>
      </c>
      <c r="C223" s="5" t="str">
        <f ca="1">IFERROR(__xludf.DUMMYFUNCTION("REGEXEXTRACT($B223, $E$2)"),"chipola")</f>
        <v>chipola</v>
      </c>
      <c r="E223" s="4"/>
      <c r="F223" s="4"/>
      <c r="G223" s="4"/>
      <c r="H223" s="4"/>
      <c r="I223" s="4"/>
      <c r="J223" s="4"/>
      <c r="K223" s="4"/>
      <c r="L223" s="4"/>
      <c r="M223" s="4"/>
      <c r="N223" s="4"/>
      <c r="O223" s="4"/>
      <c r="P223" s="4"/>
      <c r="Q223" s="4"/>
      <c r="R223" s="4"/>
      <c r="S223" s="4"/>
      <c r="T223" s="4"/>
      <c r="U223" s="4"/>
      <c r="V223" s="4"/>
      <c r="W223" s="4"/>
      <c r="X223" s="4"/>
      <c r="Y223" s="4"/>
      <c r="Z223" s="4"/>
    </row>
    <row r="224" spans="1:26" ht="15.75" customHeight="1" x14ac:dyDescent="0.2">
      <c r="A224" s="1" t="s">
        <v>445</v>
      </c>
      <c r="B224" s="1" t="s">
        <v>446</v>
      </c>
      <c r="C224" s="5" t="str">
        <f ca="1">IFERROR(__xludf.DUMMYFUNCTION("REGEXEXTRACT($B224, $E$2)"),"chowan")</f>
        <v>chowan</v>
      </c>
      <c r="E224" s="4"/>
      <c r="F224" s="4"/>
      <c r="G224" s="4"/>
      <c r="H224" s="4"/>
      <c r="I224" s="4"/>
      <c r="J224" s="4"/>
      <c r="K224" s="4"/>
      <c r="L224" s="4"/>
      <c r="M224" s="4"/>
      <c r="N224" s="4"/>
      <c r="O224" s="4"/>
      <c r="P224" s="4"/>
      <c r="Q224" s="4"/>
      <c r="R224" s="4"/>
      <c r="S224" s="4"/>
      <c r="T224" s="4"/>
      <c r="U224" s="4"/>
      <c r="V224" s="4"/>
      <c r="W224" s="4"/>
      <c r="X224" s="4"/>
      <c r="Y224" s="4"/>
      <c r="Z224" s="4"/>
    </row>
    <row r="225" spans="1:26" ht="15.75" customHeight="1" x14ac:dyDescent="0.2">
      <c r="A225" s="1" t="s">
        <v>447</v>
      </c>
      <c r="B225" s="1" t="s">
        <v>448</v>
      </c>
      <c r="C225" s="5" t="str">
        <f ca="1">IFERROR(__xludf.DUMMYFUNCTION("REGEXEXTRACT($B225, $E$2)"),"christendom")</f>
        <v>christendom</v>
      </c>
      <c r="E225" s="4"/>
      <c r="F225" s="4"/>
      <c r="G225" s="4"/>
      <c r="H225" s="4"/>
      <c r="I225" s="4"/>
      <c r="J225" s="4"/>
      <c r="K225" s="4"/>
      <c r="L225" s="4"/>
      <c r="M225" s="4"/>
      <c r="N225" s="4"/>
      <c r="O225" s="4"/>
      <c r="P225" s="4"/>
      <c r="Q225" s="4"/>
      <c r="R225" s="4"/>
      <c r="S225" s="4"/>
      <c r="T225" s="4"/>
      <c r="U225" s="4"/>
      <c r="V225" s="4"/>
      <c r="W225" s="4"/>
      <c r="X225" s="4"/>
      <c r="Y225" s="4"/>
      <c r="Z225" s="4"/>
    </row>
    <row r="226" spans="1:26" ht="15.75" customHeight="1" x14ac:dyDescent="0.2">
      <c r="A226" s="1" t="s">
        <v>449</v>
      </c>
      <c r="B226" s="1" t="s">
        <v>450</v>
      </c>
      <c r="C226" s="5" t="str">
        <f ca="1">IFERROR(__xludf.DUMMYFUNCTION("REGEXEXTRACT($B226, $E$2)"),"cbu")</f>
        <v>cbu</v>
      </c>
      <c r="E226" s="4"/>
      <c r="F226" s="4"/>
      <c r="G226" s="4"/>
      <c r="H226" s="4"/>
      <c r="I226" s="4"/>
      <c r="J226" s="4"/>
      <c r="K226" s="4"/>
      <c r="L226" s="4"/>
      <c r="M226" s="4"/>
      <c r="N226" s="4"/>
      <c r="O226" s="4"/>
      <c r="P226" s="4"/>
      <c r="Q226" s="4"/>
      <c r="R226" s="4"/>
      <c r="S226" s="4"/>
      <c r="T226" s="4"/>
      <c r="U226" s="4"/>
      <c r="V226" s="4"/>
      <c r="W226" s="4"/>
      <c r="X226" s="4"/>
      <c r="Y226" s="4"/>
      <c r="Z226" s="4"/>
    </row>
    <row r="227" spans="1:26" ht="15.75" customHeight="1" x14ac:dyDescent="0.2">
      <c r="A227" s="1" t="s">
        <v>451</v>
      </c>
      <c r="B227" s="1" t="s">
        <v>452</v>
      </c>
      <c r="C227" s="5" t="str">
        <f ca="1">IFERROR(__xludf.DUMMYFUNCTION("REGEXEXTRACT($B227, $E$2)"),"cnu")</f>
        <v>cnu</v>
      </c>
      <c r="E227" s="4"/>
      <c r="F227" s="4"/>
      <c r="G227" s="4"/>
      <c r="H227" s="4"/>
      <c r="I227" s="4"/>
      <c r="J227" s="4"/>
      <c r="K227" s="4"/>
      <c r="L227" s="4"/>
      <c r="M227" s="4"/>
      <c r="N227" s="4"/>
      <c r="O227" s="4"/>
      <c r="P227" s="4"/>
      <c r="Q227" s="4"/>
      <c r="R227" s="4"/>
      <c r="S227" s="4"/>
      <c r="T227" s="4"/>
      <c r="U227" s="4"/>
      <c r="V227" s="4"/>
      <c r="W227" s="4"/>
      <c r="X227" s="4"/>
      <c r="Y227" s="4"/>
      <c r="Z227" s="4"/>
    </row>
    <row r="228" spans="1:26" ht="15.75" customHeight="1" x14ac:dyDescent="0.2">
      <c r="A228" s="1" t="s">
        <v>453</v>
      </c>
      <c r="B228" s="1" t="s">
        <v>454</v>
      </c>
      <c r="C228" s="5" t="str">
        <f ca="1">IFERROR(__xludf.DUMMYFUNCTION("REGEXEXTRACT($B228, $E$2)"),"ccuniversity")</f>
        <v>ccuniversity</v>
      </c>
      <c r="E228" s="4"/>
      <c r="F228" s="4"/>
      <c r="G228" s="4"/>
      <c r="H228" s="4"/>
      <c r="I228" s="4"/>
      <c r="J228" s="4"/>
      <c r="K228" s="4"/>
      <c r="L228" s="4"/>
      <c r="M228" s="4"/>
      <c r="N228" s="4"/>
      <c r="O228" s="4"/>
      <c r="P228" s="4"/>
      <c r="Q228" s="4"/>
      <c r="R228" s="4"/>
      <c r="S228" s="4"/>
      <c r="T228" s="4"/>
      <c r="U228" s="4"/>
      <c r="V228" s="4"/>
      <c r="W228" s="4"/>
      <c r="X228" s="4"/>
      <c r="Y228" s="4"/>
      <c r="Z228" s="4"/>
    </row>
    <row r="229" spans="1:26" ht="15.75" customHeight="1" x14ac:dyDescent="0.2">
      <c r="A229" s="1" t="s">
        <v>455</v>
      </c>
      <c r="B229" s="1" t="s">
        <v>456</v>
      </c>
      <c r="C229" s="5" t="str">
        <f ca="1">IFERROR(__xludf.DUMMYFUNCTION("REGEXEXTRACT($B229, $E$2)"),"claflin")</f>
        <v>claflin</v>
      </c>
      <c r="E229" s="4"/>
      <c r="F229" s="4"/>
      <c r="G229" s="4"/>
      <c r="H229" s="4"/>
      <c r="I229" s="4"/>
      <c r="J229" s="4"/>
      <c r="K229" s="4"/>
      <c r="L229" s="4"/>
      <c r="M229" s="4"/>
      <c r="N229" s="4"/>
      <c r="O229" s="4"/>
      <c r="P229" s="4"/>
      <c r="Q229" s="4"/>
      <c r="R229" s="4"/>
      <c r="S229" s="4"/>
      <c r="T229" s="4"/>
      <c r="U229" s="4"/>
      <c r="V229" s="4"/>
      <c r="W229" s="4"/>
      <c r="X229" s="4"/>
      <c r="Y229" s="4"/>
      <c r="Z229" s="4"/>
    </row>
    <row r="230" spans="1:26" ht="15.75" customHeight="1" x14ac:dyDescent="0.2">
      <c r="A230" s="1" t="s">
        <v>457</v>
      </c>
      <c r="B230" s="1" t="s">
        <v>458</v>
      </c>
      <c r="C230" s="5" t="str">
        <f ca="1">IFERROR(__xludf.DUMMYFUNCTION("REGEXEXTRACT($B230, $E$2)"),"cmc")</f>
        <v>cmc</v>
      </c>
      <c r="E230" s="4"/>
      <c r="F230" s="4"/>
      <c r="G230" s="4"/>
      <c r="H230" s="4"/>
      <c r="I230" s="4"/>
      <c r="J230" s="4"/>
      <c r="K230" s="4"/>
      <c r="L230" s="4"/>
      <c r="M230" s="4"/>
      <c r="N230" s="4"/>
      <c r="O230" s="4"/>
      <c r="P230" s="4"/>
      <c r="Q230" s="4"/>
      <c r="R230" s="4"/>
      <c r="S230" s="4"/>
      <c r="T230" s="4"/>
      <c r="U230" s="4"/>
      <c r="V230" s="4"/>
      <c r="W230" s="4"/>
      <c r="X230" s="4"/>
      <c r="Y230" s="4"/>
      <c r="Z230" s="4"/>
    </row>
    <row r="231" spans="1:26" ht="15.75" customHeight="1" x14ac:dyDescent="0.2">
      <c r="A231" s="1" t="s">
        <v>459</v>
      </c>
      <c r="B231" s="1" t="s">
        <v>460</v>
      </c>
      <c r="C231" s="5" t="str">
        <f ca="1">IFERROR(__xludf.DUMMYFUNCTION("REGEXEXTRACT($B231, $E$2)"),"clarion")</f>
        <v>clarion</v>
      </c>
      <c r="E231" s="4"/>
      <c r="F231" s="4"/>
      <c r="G231" s="4"/>
      <c r="H231" s="4"/>
      <c r="I231" s="4"/>
      <c r="J231" s="4"/>
      <c r="K231" s="4"/>
      <c r="L231" s="4"/>
      <c r="M231" s="4"/>
      <c r="N231" s="4"/>
      <c r="O231" s="4"/>
      <c r="P231" s="4"/>
      <c r="Q231" s="4"/>
      <c r="R231" s="4"/>
      <c r="S231" s="4"/>
      <c r="T231" s="4"/>
      <c r="U231" s="4"/>
      <c r="V231" s="4"/>
      <c r="W231" s="4"/>
      <c r="X231" s="4"/>
      <c r="Y231" s="4"/>
      <c r="Z231" s="4"/>
    </row>
    <row r="232" spans="1:26" ht="15.75" customHeight="1" x14ac:dyDescent="0.2">
      <c r="A232" s="1" t="s">
        <v>461</v>
      </c>
      <c r="B232" s="1" t="s">
        <v>462</v>
      </c>
      <c r="C232" s="5" t="str">
        <f ca="1">IFERROR(__xludf.DUMMYFUNCTION("REGEXEXTRACT($B232, $E$2)"),"cau")</f>
        <v>cau</v>
      </c>
      <c r="E232" s="4"/>
      <c r="F232" s="4"/>
      <c r="G232" s="4"/>
      <c r="H232" s="4"/>
      <c r="I232" s="4"/>
      <c r="J232" s="4"/>
      <c r="K232" s="4"/>
      <c r="L232" s="4"/>
      <c r="M232" s="4"/>
      <c r="N232" s="4"/>
      <c r="O232" s="4"/>
      <c r="P232" s="4"/>
      <c r="Q232" s="4"/>
      <c r="R232" s="4"/>
      <c r="S232" s="4"/>
      <c r="T232" s="4"/>
      <c r="U232" s="4"/>
      <c r="V232" s="4"/>
      <c r="W232" s="4"/>
      <c r="X232" s="4"/>
      <c r="Y232" s="4"/>
      <c r="Z232" s="4"/>
    </row>
    <row r="233" spans="1:26" ht="15.75" customHeight="1" x14ac:dyDescent="0.2">
      <c r="A233" s="1" t="s">
        <v>463</v>
      </c>
      <c r="B233" s="1" t="s">
        <v>464</v>
      </c>
      <c r="C233" s="5" t="str">
        <f ca="1">IFERROR(__xludf.DUMMYFUNCTION("REGEXEXTRACT($B233, $E$2)"),"clarku")</f>
        <v>clarku</v>
      </c>
      <c r="E233" s="4"/>
      <c r="F233" s="4"/>
      <c r="G233" s="4"/>
      <c r="H233" s="4"/>
      <c r="I233" s="4"/>
      <c r="J233" s="4"/>
      <c r="K233" s="4"/>
      <c r="L233" s="4"/>
      <c r="M233" s="4"/>
      <c r="N233" s="4"/>
      <c r="O233" s="4"/>
      <c r="P233" s="4"/>
      <c r="Q233" s="4"/>
      <c r="R233" s="4"/>
      <c r="S233" s="4"/>
      <c r="T233" s="4"/>
      <c r="U233" s="4"/>
      <c r="V233" s="4"/>
      <c r="W233" s="4"/>
      <c r="X233" s="4"/>
      <c r="Y233" s="4"/>
      <c r="Z233" s="4"/>
    </row>
    <row r="234" spans="1:26" ht="15.75" customHeight="1" x14ac:dyDescent="0.2">
      <c r="A234" s="1" t="s">
        <v>465</v>
      </c>
      <c r="B234" s="1" t="s">
        <v>466</v>
      </c>
      <c r="C234" s="5" t="str">
        <f ca="1">IFERROR(__xludf.DUMMYFUNCTION("REGEXEXTRACT($B234, $E$2)"),"clarke")</f>
        <v>clarke</v>
      </c>
      <c r="E234" s="4"/>
      <c r="F234" s="4"/>
      <c r="G234" s="4"/>
      <c r="H234" s="4"/>
      <c r="I234" s="4"/>
      <c r="J234" s="4"/>
      <c r="K234" s="4"/>
      <c r="L234" s="4"/>
      <c r="M234" s="4"/>
      <c r="N234" s="4"/>
      <c r="O234" s="4"/>
      <c r="P234" s="4"/>
      <c r="Q234" s="4"/>
      <c r="R234" s="4"/>
      <c r="S234" s="4"/>
      <c r="T234" s="4"/>
      <c r="U234" s="4"/>
      <c r="V234" s="4"/>
      <c r="W234" s="4"/>
      <c r="X234" s="4"/>
      <c r="Y234" s="4"/>
      <c r="Z234" s="4"/>
    </row>
    <row r="235" spans="1:26" ht="15.75" customHeight="1" x14ac:dyDescent="0.2">
      <c r="A235" s="1" t="s">
        <v>467</v>
      </c>
      <c r="B235" s="1" t="s">
        <v>468</v>
      </c>
      <c r="C235" s="5" t="str">
        <f ca="1">IFERROR(__xludf.DUMMYFUNCTION("REGEXEXTRACT($B235, $E$2)"),"clarkssummitu")</f>
        <v>clarkssummitu</v>
      </c>
      <c r="E235" s="4"/>
      <c r="F235" s="4"/>
      <c r="G235" s="4"/>
      <c r="H235" s="4"/>
      <c r="I235" s="4"/>
      <c r="J235" s="4"/>
      <c r="K235" s="4"/>
      <c r="L235" s="4"/>
      <c r="M235" s="4"/>
      <c r="N235" s="4"/>
      <c r="O235" s="4"/>
      <c r="P235" s="4"/>
      <c r="Q235" s="4"/>
      <c r="R235" s="4"/>
      <c r="S235" s="4"/>
      <c r="T235" s="4"/>
      <c r="U235" s="4"/>
      <c r="V235" s="4"/>
      <c r="W235" s="4"/>
      <c r="X235" s="4"/>
      <c r="Y235" s="4"/>
      <c r="Z235" s="4"/>
    </row>
    <row r="236" spans="1:26" ht="15.75" customHeight="1" x14ac:dyDescent="0.2">
      <c r="A236" s="1" t="s">
        <v>469</v>
      </c>
      <c r="B236" s="1" t="s">
        <v>470</v>
      </c>
      <c r="C236" s="5" t="str">
        <f ca="1">IFERROR(__xludf.DUMMYFUNCTION("REGEXEXTRACT($B236, $E$2)"),"clarksoncollege")</f>
        <v>clarksoncollege</v>
      </c>
      <c r="E236" s="4"/>
      <c r="F236" s="4"/>
      <c r="G236" s="4"/>
      <c r="H236" s="4"/>
      <c r="I236" s="4"/>
      <c r="J236" s="4"/>
      <c r="K236" s="4"/>
      <c r="L236" s="4"/>
      <c r="M236" s="4"/>
      <c r="N236" s="4"/>
      <c r="O236" s="4"/>
      <c r="P236" s="4"/>
      <c r="Q236" s="4"/>
      <c r="R236" s="4"/>
      <c r="S236" s="4"/>
      <c r="T236" s="4"/>
      <c r="U236" s="4"/>
      <c r="V236" s="4"/>
      <c r="W236" s="4"/>
      <c r="X236" s="4"/>
      <c r="Y236" s="4"/>
      <c r="Z236" s="4"/>
    </row>
    <row r="237" spans="1:26" ht="15.75" customHeight="1" x14ac:dyDescent="0.2">
      <c r="A237" s="1" t="s">
        <v>471</v>
      </c>
      <c r="B237" s="1" t="s">
        <v>472</v>
      </c>
      <c r="C237" s="5" t="str">
        <f ca="1">IFERROR(__xludf.DUMMYFUNCTION("REGEXEXTRACT($B237, $E$2)"),"clarkson")</f>
        <v>clarkson</v>
      </c>
      <c r="E237" s="4"/>
      <c r="F237" s="4"/>
      <c r="G237" s="4"/>
      <c r="H237" s="4"/>
      <c r="I237" s="4"/>
      <c r="J237" s="4"/>
      <c r="K237" s="4"/>
      <c r="L237" s="4"/>
      <c r="M237" s="4"/>
      <c r="N237" s="4"/>
      <c r="O237" s="4"/>
      <c r="P237" s="4"/>
      <c r="Q237" s="4"/>
      <c r="R237" s="4"/>
      <c r="S237" s="4"/>
      <c r="T237" s="4"/>
      <c r="U237" s="4"/>
      <c r="V237" s="4"/>
      <c r="W237" s="4"/>
      <c r="X237" s="4"/>
      <c r="Y237" s="4"/>
      <c r="Z237" s="4"/>
    </row>
    <row r="238" spans="1:26" ht="15.75" customHeight="1" x14ac:dyDescent="0.2">
      <c r="A238" s="1" t="s">
        <v>473</v>
      </c>
      <c r="B238" s="1" t="s">
        <v>474</v>
      </c>
      <c r="C238" s="5" t="str">
        <f ca="1">IFERROR(__xludf.DUMMYFUNCTION("REGEXEXTRACT($B238, $E$2)"),"clayton")</f>
        <v>clayton</v>
      </c>
      <c r="E238" s="4"/>
      <c r="F238" s="4"/>
      <c r="G238" s="4"/>
      <c r="H238" s="4"/>
      <c r="I238" s="4"/>
      <c r="J238" s="4"/>
      <c r="K238" s="4"/>
      <c r="L238" s="4"/>
      <c r="M238" s="4"/>
      <c r="N238" s="4"/>
      <c r="O238" s="4"/>
      <c r="P238" s="4"/>
      <c r="Q238" s="4"/>
      <c r="R238" s="4"/>
      <c r="S238" s="4"/>
      <c r="T238" s="4"/>
      <c r="U238" s="4"/>
      <c r="V238" s="4"/>
      <c r="W238" s="4"/>
      <c r="X238" s="4"/>
      <c r="Y238" s="4"/>
      <c r="Z238" s="4"/>
    </row>
    <row r="239" spans="1:26" ht="15.75" customHeight="1" x14ac:dyDescent="0.2">
      <c r="A239" s="1" t="s">
        <v>475</v>
      </c>
      <c r="B239" s="1" t="s">
        <v>476</v>
      </c>
      <c r="C239" s="5" t="str">
        <f ca="1">IFERROR(__xludf.DUMMYFUNCTION("REGEXEXTRACT($B239, $E$2)"),"ccbbc")</f>
        <v>ccbbc</v>
      </c>
      <c r="E239" s="4"/>
      <c r="F239" s="4"/>
      <c r="G239" s="4"/>
      <c r="H239" s="4"/>
      <c r="I239" s="4"/>
      <c r="J239" s="4"/>
      <c r="K239" s="4"/>
      <c r="L239" s="4"/>
      <c r="M239" s="4"/>
      <c r="N239" s="4"/>
      <c r="O239" s="4"/>
      <c r="P239" s="4"/>
      <c r="Q239" s="4"/>
      <c r="R239" s="4"/>
      <c r="S239" s="4"/>
      <c r="T239" s="4"/>
      <c r="U239" s="4"/>
      <c r="V239" s="4"/>
      <c r="W239" s="4"/>
      <c r="X239" s="4"/>
      <c r="Y239" s="4"/>
      <c r="Z239" s="4"/>
    </row>
    <row r="240" spans="1:26" ht="15.75" customHeight="1" x14ac:dyDescent="0.2">
      <c r="A240" s="1" t="s">
        <v>477</v>
      </c>
      <c r="B240" s="1" t="s">
        <v>478</v>
      </c>
      <c r="C240" s="5" t="str">
        <f ca="1">IFERROR(__xludf.DUMMYFUNCTION("REGEXEXTRACT($B240, $E$2)"),"cleary")</f>
        <v>cleary</v>
      </c>
      <c r="E240" s="4"/>
      <c r="F240" s="4"/>
      <c r="G240" s="4"/>
      <c r="H240" s="4"/>
      <c r="I240" s="4"/>
      <c r="J240" s="4"/>
      <c r="K240" s="4"/>
      <c r="L240" s="4"/>
      <c r="M240" s="4"/>
      <c r="N240" s="4"/>
      <c r="O240" s="4"/>
      <c r="P240" s="4"/>
      <c r="Q240" s="4"/>
      <c r="R240" s="4"/>
      <c r="S240" s="4"/>
      <c r="T240" s="4"/>
      <c r="U240" s="4"/>
      <c r="V240" s="4"/>
      <c r="W240" s="4"/>
      <c r="X240" s="4"/>
      <c r="Y240" s="4"/>
      <c r="Z240" s="4"/>
    </row>
    <row r="241" spans="1:26" ht="15.75" customHeight="1" x14ac:dyDescent="0.2">
      <c r="A241" s="1" t="s">
        <v>479</v>
      </c>
      <c r="B241" s="1" t="s">
        <v>480</v>
      </c>
      <c r="C241" s="5" t="str">
        <f ca="1">IFERROR(__xludf.DUMMYFUNCTION("REGEXEXTRACT($B241, $E$2)"),"clemson")</f>
        <v>clemson</v>
      </c>
      <c r="E241" s="4"/>
      <c r="F241" s="4"/>
      <c r="G241" s="4"/>
      <c r="H241" s="4"/>
      <c r="I241" s="4"/>
      <c r="J241" s="4"/>
      <c r="K241" s="4"/>
      <c r="L241" s="4"/>
      <c r="M241" s="4"/>
      <c r="N241" s="4"/>
      <c r="O241" s="4"/>
      <c r="P241" s="4"/>
      <c r="Q241" s="4"/>
      <c r="R241" s="4"/>
      <c r="S241" s="4"/>
      <c r="T241" s="4"/>
      <c r="U241" s="4"/>
      <c r="V241" s="4"/>
      <c r="W241" s="4"/>
      <c r="X241" s="4"/>
      <c r="Y241" s="4"/>
      <c r="Z241" s="4"/>
    </row>
    <row r="242" spans="1:26" ht="15.75" customHeight="1" x14ac:dyDescent="0.2">
      <c r="A242" s="1" t="s">
        <v>481</v>
      </c>
      <c r="B242" s="1" t="s">
        <v>482</v>
      </c>
      <c r="C242" s="5" t="str">
        <f ca="1">IFERROR(__xludf.DUMMYFUNCTION("REGEXEXTRACT($B242, $E$2)"),"cim")</f>
        <v>cim</v>
      </c>
      <c r="E242" s="4"/>
      <c r="F242" s="4"/>
      <c r="G242" s="4"/>
      <c r="H242" s="4"/>
      <c r="I242" s="4"/>
      <c r="J242" s="4"/>
      <c r="K242" s="4"/>
      <c r="L242" s="4"/>
      <c r="M242" s="4"/>
      <c r="N242" s="4"/>
      <c r="O242" s="4"/>
      <c r="P242" s="4"/>
      <c r="Q242" s="4"/>
      <c r="R242" s="4"/>
      <c r="S242" s="4"/>
      <c r="T242" s="4"/>
      <c r="U242" s="4"/>
      <c r="V242" s="4"/>
      <c r="W242" s="4"/>
      <c r="X242" s="4"/>
      <c r="Y242" s="4"/>
      <c r="Z242" s="4"/>
    </row>
    <row r="243" spans="1:26" ht="15.75" customHeight="1" x14ac:dyDescent="0.2">
      <c r="A243" s="1" t="s">
        <v>483</v>
      </c>
      <c r="B243" s="1" t="s">
        <v>484</v>
      </c>
      <c r="C243" s="5" t="str">
        <f ca="1">IFERROR(__xludf.DUMMYFUNCTION("REGEXEXTRACT($B243, $E$2)"),"csuohio")</f>
        <v>csuohio</v>
      </c>
      <c r="E243" s="4"/>
      <c r="F243" s="4"/>
      <c r="G243" s="4"/>
      <c r="H243" s="4"/>
      <c r="I243" s="4"/>
      <c r="J243" s="4"/>
      <c r="K243" s="4"/>
      <c r="L243" s="4"/>
      <c r="M243" s="4"/>
      <c r="N243" s="4"/>
      <c r="O243" s="4"/>
      <c r="P243" s="4"/>
      <c r="Q243" s="4"/>
      <c r="R243" s="4"/>
      <c r="S243" s="4"/>
      <c r="T243" s="4"/>
      <c r="U243" s="4"/>
      <c r="V243" s="4"/>
      <c r="W243" s="4"/>
      <c r="X243" s="4"/>
      <c r="Y243" s="4"/>
      <c r="Z243" s="4"/>
    </row>
    <row r="244" spans="1:26" ht="15.75" customHeight="1" x14ac:dyDescent="0.2">
      <c r="A244" s="1" t="s">
        <v>485</v>
      </c>
      <c r="B244" s="1" t="s">
        <v>486</v>
      </c>
      <c r="C244" s="5" t="str">
        <f ca="1">IFERROR(__xludf.DUMMYFUNCTION("REGEXEXTRACT($B244, $E$2)"),"coastal")</f>
        <v>coastal</v>
      </c>
      <c r="E244" s="4"/>
      <c r="F244" s="4"/>
      <c r="G244" s="4"/>
      <c r="H244" s="4"/>
      <c r="I244" s="4"/>
      <c r="J244" s="4"/>
      <c r="K244" s="4"/>
      <c r="L244" s="4"/>
      <c r="M244" s="4"/>
      <c r="N244" s="4"/>
      <c r="O244" s="4"/>
      <c r="P244" s="4"/>
      <c r="Q244" s="4"/>
      <c r="R244" s="4"/>
      <c r="S244" s="4"/>
      <c r="T244" s="4"/>
      <c r="U244" s="4"/>
      <c r="V244" s="4"/>
      <c r="W244" s="4"/>
      <c r="X244" s="4"/>
      <c r="Y244" s="4"/>
      <c r="Z244" s="4"/>
    </row>
    <row r="245" spans="1:26" ht="15.75" customHeight="1" x14ac:dyDescent="0.2">
      <c r="A245" s="1" t="s">
        <v>487</v>
      </c>
      <c r="B245" s="1" t="s">
        <v>488</v>
      </c>
      <c r="C245" s="5" t="str">
        <f ca="1">IFERROR(__xludf.DUMMYFUNCTION("REGEXEXTRACT($B245, $E$2)"),"coe")</f>
        <v>coe</v>
      </c>
      <c r="E245" s="4"/>
      <c r="F245" s="4"/>
      <c r="G245" s="4"/>
      <c r="H245" s="4"/>
      <c r="I245" s="4"/>
      <c r="J245" s="4"/>
      <c r="K245" s="4"/>
      <c r="L245" s="4"/>
      <c r="M245" s="4"/>
      <c r="N245" s="4"/>
      <c r="O245" s="4"/>
      <c r="P245" s="4"/>
      <c r="Q245" s="4"/>
      <c r="R245" s="4"/>
      <c r="S245" s="4"/>
      <c r="T245" s="4"/>
      <c r="U245" s="4"/>
      <c r="V245" s="4"/>
      <c r="W245" s="4"/>
      <c r="X245" s="4"/>
      <c r="Y245" s="4"/>
      <c r="Z245" s="4"/>
    </row>
    <row r="246" spans="1:26" ht="15.75" customHeight="1" x14ac:dyDescent="0.2">
      <c r="A246" s="1" t="s">
        <v>489</v>
      </c>
      <c r="B246" s="1" t="s">
        <v>490</v>
      </c>
      <c r="C246" s="5" t="str">
        <f ca="1">IFERROR(__xludf.DUMMYFUNCTION("REGEXEXTRACT($B246, $E$2)"),"cogswell")</f>
        <v>cogswell</v>
      </c>
      <c r="E246" s="4"/>
      <c r="F246" s="4"/>
      <c r="G246" s="4"/>
      <c r="H246" s="4"/>
      <c r="I246" s="4"/>
      <c r="J246" s="4"/>
      <c r="K246" s="4"/>
      <c r="L246" s="4"/>
      <c r="M246" s="4"/>
      <c r="N246" s="4"/>
      <c r="O246" s="4"/>
      <c r="P246" s="4"/>
      <c r="Q246" s="4"/>
      <c r="R246" s="4"/>
      <c r="S246" s="4"/>
      <c r="T246" s="4"/>
      <c r="U246" s="4"/>
      <c r="V246" s="4"/>
      <c r="W246" s="4"/>
      <c r="X246" s="4"/>
      <c r="Y246" s="4"/>
      <c r="Z246" s="4"/>
    </row>
    <row r="247" spans="1:26" ht="15.75" customHeight="1" x14ac:dyDescent="0.2">
      <c r="A247" s="1" t="s">
        <v>491</v>
      </c>
      <c r="B247" s="1" t="s">
        <v>492</v>
      </c>
      <c r="C247" s="5" t="str">
        <f ca="1">IFERROR(__xludf.DUMMYFUNCTION("REGEXEXTRACT($B247, $E$2)"),"coker")</f>
        <v>coker</v>
      </c>
      <c r="E247" s="4"/>
      <c r="F247" s="4"/>
      <c r="G247" s="4"/>
      <c r="H247" s="4"/>
      <c r="I247" s="4"/>
      <c r="J247" s="4"/>
      <c r="K247" s="4"/>
      <c r="L247" s="4"/>
      <c r="M247" s="4"/>
      <c r="N247" s="4"/>
      <c r="O247" s="4"/>
      <c r="P247" s="4"/>
      <c r="Q247" s="4"/>
      <c r="R247" s="4"/>
      <c r="S247" s="4"/>
      <c r="T247" s="4"/>
      <c r="U247" s="4"/>
      <c r="V247" s="4"/>
      <c r="W247" s="4"/>
      <c r="X247" s="4"/>
      <c r="Y247" s="4"/>
      <c r="Z247" s="4"/>
    </row>
    <row r="248" spans="1:26" ht="15.75" customHeight="1" x14ac:dyDescent="0.2">
      <c r="A248" s="1" t="s">
        <v>493</v>
      </c>
      <c r="B248" s="1" t="s">
        <v>494</v>
      </c>
      <c r="C248" s="5" t="str">
        <f ca="1">IFERROR(__xludf.DUMMYFUNCTION("REGEXEXTRACT($B248, $E$2)"),"colby")</f>
        <v>colby</v>
      </c>
      <c r="E248" s="4"/>
      <c r="F248" s="4"/>
      <c r="G248" s="4"/>
      <c r="H248" s="4"/>
      <c r="I248" s="4"/>
      <c r="J248" s="4"/>
      <c r="K248" s="4"/>
      <c r="L248" s="4"/>
      <c r="M248" s="4"/>
      <c r="N248" s="4"/>
      <c r="O248" s="4"/>
      <c r="P248" s="4"/>
      <c r="Q248" s="4"/>
      <c r="R248" s="4"/>
      <c r="S248" s="4"/>
      <c r="T248" s="4"/>
      <c r="U248" s="4"/>
      <c r="V248" s="4"/>
      <c r="W248" s="4"/>
      <c r="X248" s="4"/>
      <c r="Y248" s="4"/>
      <c r="Z248" s="4"/>
    </row>
    <row r="249" spans="1:26" ht="15.75" customHeight="1" x14ac:dyDescent="0.2">
      <c r="A249" s="1" t="s">
        <v>495</v>
      </c>
      <c r="B249" s="1" t="s">
        <v>496</v>
      </c>
      <c r="C249" s="5" t="str">
        <f ca="1">IFERROR(__xludf.DUMMYFUNCTION("REGEXEXTRACT($B249, $E$2)"),"colby-sawyer")</f>
        <v>colby-sawyer</v>
      </c>
      <c r="E249" s="4"/>
      <c r="F249" s="4"/>
      <c r="G249" s="4"/>
      <c r="H249" s="4"/>
      <c r="I249" s="4"/>
      <c r="J249" s="4"/>
      <c r="K249" s="4"/>
      <c r="L249" s="4"/>
      <c r="M249" s="4"/>
      <c r="N249" s="4"/>
      <c r="O249" s="4"/>
      <c r="P249" s="4"/>
      <c r="Q249" s="4"/>
      <c r="R249" s="4"/>
      <c r="S249" s="4"/>
      <c r="T249" s="4"/>
      <c r="U249" s="4"/>
      <c r="V249" s="4"/>
      <c r="W249" s="4"/>
      <c r="X249" s="4"/>
      <c r="Y249" s="4"/>
      <c r="Z249" s="4"/>
    </row>
    <row r="250" spans="1:26" ht="15.75" customHeight="1" x14ac:dyDescent="0.2">
      <c r="A250" s="1" t="s">
        <v>497</v>
      </c>
      <c r="B250" s="1" t="s">
        <v>498</v>
      </c>
      <c r="C250" s="5" t="str">
        <f ca="1">IFERROR(__xludf.DUMMYFUNCTION("REGEXEXTRACT($B250, $E$2)"),"colgate")</f>
        <v>colgate</v>
      </c>
      <c r="E250" s="4"/>
      <c r="F250" s="4"/>
      <c r="G250" s="4"/>
      <c r="H250" s="4"/>
      <c r="I250" s="4"/>
      <c r="J250" s="4"/>
      <c r="K250" s="4"/>
      <c r="L250" s="4"/>
      <c r="M250" s="4"/>
      <c r="N250" s="4"/>
      <c r="O250" s="4"/>
      <c r="P250" s="4"/>
      <c r="Q250" s="4"/>
      <c r="R250" s="4"/>
      <c r="S250" s="4"/>
      <c r="T250" s="4"/>
      <c r="U250" s="4"/>
      <c r="V250" s="4"/>
      <c r="W250" s="4"/>
      <c r="X250" s="4"/>
      <c r="Y250" s="4"/>
      <c r="Z250" s="4"/>
    </row>
    <row r="251" spans="1:26" ht="15.75" customHeight="1" x14ac:dyDescent="0.2">
      <c r="A251" s="1" t="s">
        <v>499</v>
      </c>
      <c r="B251" s="1" t="s">
        <v>500</v>
      </c>
      <c r="C251" s="5" t="str">
        <f ca="1">IFERROR(__xludf.DUMMYFUNCTION("REGEXEXTRACT($B251, $E$2)"),"cofc")</f>
        <v>cofc</v>
      </c>
      <c r="E251" s="4"/>
      <c r="F251" s="4"/>
      <c r="G251" s="4"/>
      <c r="H251" s="4"/>
      <c r="I251" s="4"/>
      <c r="J251" s="4"/>
      <c r="K251" s="4"/>
      <c r="L251" s="4"/>
      <c r="M251" s="4"/>
      <c r="N251" s="4"/>
      <c r="O251" s="4"/>
      <c r="P251" s="4"/>
      <c r="Q251" s="4"/>
      <c r="R251" s="4"/>
      <c r="S251" s="4"/>
      <c r="T251" s="4"/>
      <c r="U251" s="4"/>
      <c r="V251" s="4"/>
      <c r="W251" s="4"/>
      <c r="X251" s="4"/>
      <c r="Y251" s="4"/>
      <c r="Z251" s="4"/>
    </row>
    <row r="252" spans="1:26" ht="15.75" customHeight="1" x14ac:dyDescent="0.2">
      <c r="A252" s="1" t="s">
        <v>501</v>
      </c>
      <c r="B252" s="1" t="s">
        <v>502</v>
      </c>
      <c r="C252" s="5" t="str">
        <f ca="1">IFERROR(__xludf.DUMMYFUNCTION("REGEXEXTRACT($B252, $E$2)"),"collegeofidaho")</f>
        <v>collegeofidaho</v>
      </c>
      <c r="E252" s="4"/>
      <c r="F252" s="4"/>
      <c r="G252" s="4"/>
      <c r="H252" s="4"/>
      <c r="I252" s="4"/>
      <c r="J252" s="4"/>
      <c r="K252" s="4"/>
      <c r="L252" s="4"/>
      <c r="M252" s="4"/>
      <c r="N252" s="4"/>
      <c r="O252" s="4"/>
      <c r="P252" s="4"/>
      <c r="Q252" s="4"/>
      <c r="R252" s="4"/>
      <c r="S252" s="4"/>
      <c r="T252" s="4"/>
      <c r="U252" s="4"/>
      <c r="V252" s="4"/>
      <c r="W252" s="4"/>
      <c r="X252" s="4"/>
      <c r="Y252" s="4"/>
      <c r="Z252" s="4"/>
    </row>
    <row r="253" spans="1:26" ht="15.75" customHeight="1" x14ac:dyDescent="0.2">
      <c r="A253" s="1" t="s">
        <v>503</v>
      </c>
      <c r="B253" s="1" t="s">
        <v>504</v>
      </c>
      <c r="C253" s="5" t="str">
        <f ca="1">IFERROR(__xludf.DUMMYFUNCTION("REGEXEXTRACT($B253, $E$2)"),"mountsaintvincent")</f>
        <v>mountsaintvincent</v>
      </c>
      <c r="E253" s="4"/>
      <c r="F253" s="4"/>
      <c r="G253" s="4"/>
      <c r="H253" s="4"/>
      <c r="I253" s="4"/>
      <c r="J253" s="4"/>
      <c r="K253" s="4"/>
      <c r="L253" s="4"/>
      <c r="M253" s="4"/>
      <c r="N253" s="4"/>
      <c r="O253" s="4"/>
      <c r="P253" s="4"/>
      <c r="Q253" s="4"/>
      <c r="R253" s="4"/>
      <c r="S253" s="4"/>
      <c r="T253" s="4"/>
      <c r="U253" s="4"/>
      <c r="V253" s="4"/>
      <c r="W253" s="4"/>
      <c r="X253" s="4"/>
      <c r="Y253" s="4"/>
      <c r="Z253" s="4"/>
    </row>
    <row r="254" spans="1:26" ht="15.75" customHeight="1" x14ac:dyDescent="0.2">
      <c r="A254" s="1" t="s">
        <v>505</v>
      </c>
      <c r="B254" s="1" t="s">
        <v>506</v>
      </c>
      <c r="C254" s="5" t="str">
        <f ca="1">IFERROR(__xludf.DUMMYFUNCTION("REGEXEXTRACT($B254, $E$2)"),"tcnj")</f>
        <v>tcnj</v>
      </c>
      <c r="E254" s="4"/>
      <c r="F254" s="4"/>
      <c r="G254" s="4"/>
      <c r="H254" s="4"/>
      <c r="I254" s="4"/>
      <c r="J254" s="4"/>
      <c r="K254" s="4"/>
      <c r="L254" s="4"/>
      <c r="M254" s="4"/>
      <c r="N254" s="4"/>
      <c r="O254" s="4"/>
      <c r="P254" s="4"/>
      <c r="Q254" s="4"/>
      <c r="R254" s="4"/>
      <c r="S254" s="4"/>
      <c r="T254" s="4"/>
      <c r="U254" s="4"/>
      <c r="V254" s="4"/>
      <c r="W254" s="4"/>
      <c r="X254" s="4"/>
      <c r="Y254" s="4"/>
      <c r="Z254" s="4"/>
    </row>
    <row r="255" spans="1:26" ht="15.75" customHeight="1" x14ac:dyDescent="0.2">
      <c r="A255" s="1" t="s">
        <v>507</v>
      </c>
      <c r="B255" s="1" t="s">
        <v>508</v>
      </c>
      <c r="C255" s="5" t="str">
        <f ca="1">IFERROR(__xludf.DUMMYFUNCTION("REGEXEXTRACT($B255, $E$2)"),"cnr")</f>
        <v>cnr</v>
      </c>
      <c r="E255" s="4"/>
      <c r="F255" s="4"/>
      <c r="G255" s="4"/>
      <c r="H255" s="4"/>
      <c r="I255" s="4"/>
      <c r="J255" s="4"/>
      <c r="K255" s="4"/>
      <c r="L255" s="4"/>
      <c r="M255" s="4"/>
      <c r="N255" s="4"/>
      <c r="O255" s="4"/>
      <c r="P255" s="4"/>
      <c r="Q255" s="4"/>
      <c r="R255" s="4"/>
      <c r="S255" s="4"/>
      <c r="T255" s="4"/>
      <c r="U255" s="4"/>
      <c r="V255" s="4"/>
      <c r="W255" s="4"/>
      <c r="X255" s="4"/>
      <c r="Y255" s="4"/>
      <c r="Z255" s="4"/>
    </row>
    <row r="256" spans="1:26" ht="15.75" customHeight="1" x14ac:dyDescent="0.2">
      <c r="A256" s="1" t="s">
        <v>509</v>
      </c>
      <c r="B256" s="1" t="s">
        <v>510</v>
      </c>
      <c r="C256" s="5" t="str">
        <f ca="1">IFERROR(__xludf.DUMMYFUNCTION("REGEXEXTRACT($B256, $E$2)"),"csbsju")</f>
        <v>csbsju</v>
      </c>
      <c r="E256" s="4"/>
      <c r="F256" s="4"/>
      <c r="G256" s="4"/>
      <c r="H256" s="4"/>
      <c r="I256" s="4"/>
      <c r="J256" s="4"/>
      <c r="K256" s="4"/>
      <c r="L256" s="4"/>
      <c r="M256" s="4"/>
      <c r="N256" s="4"/>
      <c r="O256" s="4"/>
      <c r="P256" s="4"/>
      <c r="Q256" s="4"/>
      <c r="R256" s="4"/>
      <c r="S256" s="4"/>
      <c r="T256" s="4"/>
      <c r="U256" s="4"/>
      <c r="V256" s="4"/>
      <c r="W256" s="4"/>
      <c r="X256" s="4"/>
      <c r="Y256" s="4"/>
      <c r="Z256" s="4"/>
    </row>
    <row r="257" spans="1:26" ht="15.75" customHeight="1" x14ac:dyDescent="0.2">
      <c r="A257" s="1" t="s">
        <v>511</v>
      </c>
      <c r="B257" s="1" t="s">
        <v>512</v>
      </c>
      <c r="C257" s="5" t="str">
        <f ca="1">IFERROR(__xludf.DUMMYFUNCTION("REGEXEXTRACT($B257, $E$2)"),"cse")</f>
        <v>cse</v>
      </c>
      <c r="E257" s="4"/>
      <c r="F257" s="4"/>
      <c r="G257" s="4"/>
      <c r="H257" s="4"/>
      <c r="I257" s="4"/>
      <c r="J257" s="4"/>
      <c r="K257" s="4"/>
      <c r="L257" s="4"/>
      <c r="M257" s="4"/>
      <c r="N257" s="4"/>
      <c r="O257" s="4"/>
      <c r="P257" s="4"/>
      <c r="Q257" s="4"/>
      <c r="R257" s="4"/>
      <c r="S257" s="4"/>
      <c r="T257" s="4"/>
      <c r="U257" s="4"/>
      <c r="V257" s="4"/>
      <c r="W257" s="4"/>
      <c r="X257" s="4"/>
      <c r="Y257" s="4"/>
      <c r="Z257" s="4"/>
    </row>
    <row r="258" spans="1:26" ht="15.75" customHeight="1" x14ac:dyDescent="0.2">
      <c r="A258" s="1" t="s">
        <v>513</v>
      </c>
      <c r="B258" s="1" t="s">
        <v>514</v>
      </c>
      <c r="C258" s="5" t="str">
        <f ca="1">IFERROR(__xludf.DUMMYFUNCTION("REGEXEXTRACT($B258, $E$2)"),"strose")</f>
        <v>strose</v>
      </c>
      <c r="E258" s="4"/>
      <c r="F258" s="4"/>
      <c r="G258" s="4"/>
      <c r="H258" s="4"/>
      <c r="I258" s="4"/>
      <c r="J258" s="4"/>
      <c r="K258" s="4"/>
      <c r="L258" s="4"/>
      <c r="M258" s="4"/>
      <c r="N258" s="4"/>
      <c r="O258" s="4"/>
      <c r="P258" s="4"/>
      <c r="Q258" s="4"/>
      <c r="R258" s="4"/>
      <c r="S258" s="4"/>
      <c r="T258" s="4"/>
      <c r="U258" s="4"/>
      <c r="V258" s="4"/>
      <c r="W258" s="4"/>
      <c r="X258" s="4"/>
      <c r="Y258" s="4"/>
      <c r="Z258" s="4"/>
    </row>
    <row r="259" spans="1:26" ht="15.75" customHeight="1" x14ac:dyDescent="0.2">
      <c r="A259" s="1" t="s">
        <v>515</v>
      </c>
      <c r="B259" s="1" t="s">
        <v>516</v>
      </c>
      <c r="C259" s="5" t="str">
        <f ca="1">IFERROR(__xludf.DUMMYFUNCTION("REGEXEXTRACT($B259, $E$2)"),"csm")</f>
        <v>csm</v>
      </c>
      <c r="E259" s="4"/>
      <c r="F259" s="4"/>
      <c r="G259" s="4"/>
      <c r="H259" s="4"/>
      <c r="I259" s="4"/>
      <c r="J259" s="4"/>
      <c r="K259" s="4"/>
      <c r="L259" s="4"/>
      <c r="M259" s="4"/>
      <c r="N259" s="4"/>
      <c r="O259" s="4"/>
      <c r="P259" s="4"/>
      <c r="Q259" s="4"/>
      <c r="R259" s="4"/>
      <c r="S259" s="4"/>
      <c r="T259" s="4"/>
      <c r="U259" s="4"/>
      <c r="V259" s="4"/>
      <c r="W259" s="4"/>
      <c r="X259" s="4"/>
      <c r="Y259" s="4"/>
      <c r="Z259" s="4"/>
    </row>
    <row r="260" spans="1:26" ht="15.75" customHeight="1" x14ac:dyDescent="0.2">
      <c r="A260" s="1" t="s">
        <v>517</v>
      </c>
      <c r="B260" s="1" t="s">
        <v>518</v>
      </c>
      <c r="C260" s="5" t="str">
        <f ca="1">IFERROR(__xludf.DUMMYFUNCTION("REGEXEXTRACT($B260, $E$2)"),"cuny")</f>
        <v>cuny</v>
      </c>
      <c r="E260" s="4"/>
      <c r="F260" s="4"/>
      <c r="G260" s="4"/>
      <c r="H260" s="4"/>
      <c r="I260" s="4"/>
      <c r="J260" s="4"/>
      <c r="K260" s="4"/>
      <c r="L260" s="4"/>
      <c r="M260" s="4"/>
      <c r="N260" s="4"/>
      <c r="O260" s="4"/>
      <c r="P260" s="4"/>
      <c r="Q260" s="4"/>
      <c r="R260" s="4"/>
      <c r="S260" s="4"/>
      <c r="T260" s="4"/>
      <c r="U260" s="4"/>
      <c r="V260" s="4"/>
      <c r="W260" s="4"/>
      <c r="X260" s="4"/>
      <c r="Y260" s="4"/>
      <c r="Z260" s="4"/>
    </row>
    <row r="261" spans="1:26" ht="15.75" customHeight="1" x14ac:dyDescent="0.2">
      <c r="A261" s="1" t="s">
        <v>519</v>
      </c>
      <c r="B261" s="1" t="s">
        <v>520</v>
      </c>
      <c r="C261" s="5" t="str">
        <f ca="1">IFERROR(__xludf.DUMMYFUNCTION("REGEXEXTRACT($B261, $E$2)"),"coa")</f>
        <v>coa</v>
      </c>
      <c r="E261" s="4"/>
      <c r="F261" s="4"/>
      <c r="G261" s="4"/>
      <c r="H261" s="4"/>
      <c r="I261" s="4"/>
      <c r="J261" s="4"/>
      <c r="K261" s="4"/>
      <c r="L261" s="4"/>
      <c r="M261" s="4"/>
      <c r="N261" s="4"/>
      <c r="O261" s="4"/>
      <c r="P261" s="4"/>
      <c r="Q261" s="4"/>
      <c r="R261" s="4"/>
      <c r="S261" s="4"/>
      <c r="T261" s="4"/>
      <c r="U261" s="4"/>
      <c r="V261" s="4"/>
      <c r="W261" s="4"/>
      <c r="X261" s="4"/>
      <c r="Y261" s="4"/>
      <c r="Z261" s="4"/>
    </row>
    <row r="262" spans="1:26" ht="15.75" customHeight="1" x14ac:dyDescent="0.2">
      <c r="A262" s="1" t="s">
        <v>521</v>
      </c>
      <c r="B262" s="1" t="s">
        <v>522</v>
      </c>
      <c r="C262" s="5" t="str">
        <f ca="1">IFERROR(__xludf.DUMMYFUNCTION("REGEXEXTRACT($B262, $E$2)"),"holycross")</f>
        <v>holycross</v>
      </c>
      <c r="E262" s="4"/>
      <c r="F262" s="4"/>
      <c r="G262" s="4"/>
      <c r="H262" s="4"/>
      <c r="I262" s="4"/>
      <c r="J262" s="4"/>
      <c r="K262" s="4"/>
      <c r="L262" s="4"/>
      <c r="M262" s="4"/>
      <c r="N262" s="4"/>
      <c r="O262" s="4"/>
      <c r="P262" s="4"/>
      <c r="Q262" s="4"/>
      <c r="R262" s="4"/>
      <c r="S262" s="4"/>
      <c r="T262" s="4"/>
      <c r="U262" s="4"/>
      <c r="V262" s="4"/>
      <c r="W262" s="4"/>
      <c r="X262" s="4"/>
      <c r="Y262" s="4"/>
      <c r="Z262" s="4"/>
    </row>
    <row r="263" spans="1:26" ht="15.75" customHeight="1" x14ac:dyDescent="0.2">
      <c r="A263" s="1" t="s">
        <v>523</v>
      </c>
      <c r="B263" s="1" t="s">
        <v>524</v>
      </c>
      <c r="C263" s="5" t="str">
        <f ca="1">IFERROR(__xludf.DUMMYFUNCTION("REGEXEXTRACT($B263, $E$2)"),"cofo")</f>
        <v>cofo</v>
      </c>
      <c r="E263" s="4"/>
      <c r="F263" s="4"/>
      <c r="G263" s="4"/>
      <c r="H263" s="4"/>
      <c r="I263" s="4"/>
      <c r="J263" s="4"/>
      <c r="K263" s="4"/>
      <c r="L263" s="4"/>
      <c r="M263" s="4"/>
      <c r="N263" s="4"/>
      <c r="O263" s="4"/>
      <c r="P263" s="4"/>
      <c r="Q263" s="4"/>
      <c r="R263" s="4"/>
      <c r="S263" s="4"/>
      <c r="T263" s="4"/>
      <c r="U263" s="4"/>
      <c r="V263" s="4"/>
      <c r="W263" s="4"/>
      <c r="X263" s="4"/>
      <c r="Y263" s="4"/>
      <c r="Z263" s="4"/>
    </row>
    <row r="264" spans="1:26" ht="15.75" customHeight="1" x14ac:dyDescent="0.2">
      <c r="A264" s="1" t="s">
        <v>525</v>
      </c>
      <c r="B264" s="1" t="s">
        <v>526</v>
      </c>
      <c r="C264" s="5" t="str">
        <f ca="1">IFERROR(__xludf.DUMMYFUNCTION("REGEXEXTRACT($B264, $E$2)"),"wm")</f>
        <v>wm</v>
      </c>
      <c r="E264" s="4"/>
      <c r="F264" s="4"/>
      <c r="G264" s="4"/>
      <c r="H264" s="4"/>
      <c r="I264" s="4"/>
      <c r="J264" s="4"/>
      <c r="K264" s="4"/>
      <c r="L264" s="4"/>
      <c r="M264" s="4"/>
      <c r="N264" s="4"/>
      <c r="O264" s="4"/>
      <c r="P264" s="4"/>
      <c r="Q264" s="4"/>
      <c r="R264" s="4"/>
      <c r="S264" s="4"/>
      <c r="T264" s="4"/>
      <c r="U264" s="4"/>
      <c r="V264" s="4"/>
      <c r="W264" s="4"/>
      <c r="X264" s="4"/>
      <c r="Y264" s="4"/>
      <c r="Z264" s="4"/>
    </row>
    <row r="265" spans="1:26" ht="15.75" customHeight="1" x14ac:dyDescent="0.2">
      <c r="A265" s="1" t="s">
        <v>527</v>
      </c>
      <c r="B265" s="1" t="s">
        <v>528</v>
      </c>
      <c r="C265" s="5" t="str">
        <f ca="1">IFERROR(__xludf.DUMMYFUNCTION("REGEXEXTRACT($B265, $E$2)"),"csj")</f>
        <v>csj</v>
      </c>
      <c r="E265" s="4"/>
      <c r="F265" s="4"/>
      <c r="G265" s="4"/>
      <c r="H265" s="4"/>
      <c r="I265" s="4"/>
      <c r="J265" s="4"/>
      <c r="K265" s="4"/>
      <c r="L265" s="4"/>
      <c r="M265" s="4"/>
      <c r="N265" s="4"/>
      <c r="O265" s="4"/>
      <c r="P265" s="4"/>
      <c r="Q265" s="4"/>
      <c r="R265" s="4"/>
      <c r="S265" s="4"/>
      <c r="T265" s="4"/>
      <c r="U265" s="4"/>
      <c r="V265" s="4"/>
      <c r="W265" s="4"/>
      <c r="X265" s="4"/>
      <c r="Y265" s="4"/>
      <c r="Z265" s="4"/>
    </row>
    <row r="266" spans="1:26" ht="15.75" customHeight="1" x14ac:dyDescent="0.2">
      <c r="A266" s="1" t="s">
        <v>529</v>
      </c>
      <c r="B266" s="1" t="s">
        <v>530</v>
      </c>
      <c r="C266" s="5" t="str">
        <f ca="1">IFERROR(__xludf.DUMMYFUNCTION("REGEXEXTRACT($B266, $E$2)"),"css")</f>
        <v>css</v>
      </c>
      <c r="E266" s="4"/>
      <c r="F266" s="4"/>
      <c r="G266" s="4"/>
      <c r="H266" s="4"/>
      <c r="I266" s="4"/>
      <c r="J266" s="4"/>
      <c r="K266" s="4"/>
      <c r="L266" s="4"/>
      <c r="M266" s="4"/>
      <c r="N266" s="4"/>
      <c r="O266" s="4"/>
      <c r="P266" s="4"/>
      <c r="Q266" s="4"/>
      <c r="R266" s="4"/>
      <c r="S266" s="4"/>
      <c r="T266" s="4"/>
      <c r="U266" s="4"/>
      <c r="V266" s="4"/>
      <c r="W266" s="4"/>
      <c r="X266" s="4"/>
      <c r="Y266" s="4"/>
      <c r="Z266" s="4"/>
    </row>
    <row r="267" spans="1:26" ht="15.75" customHeight="1" x14ac:dyDescent="0.2">
      <c r="A267" s="1" t="s">
        <v>531</v>
      </c>
      <c r="B267" s="1" t="s">
        <v>532</v>
      </c>
      <c r="C267" s="5" t="str">
        <f ca="1">IFERROR(__xludf.DUMMYFUNCTION("REGEXEXTRACT($B267, $E$2)"),"wooster")</f>
        <v>wooster</v>
      </c>
      <c r="E267" s="4"/>
      <c r="F267" s="4"/>
      <c r="G267" s="4"/>
      <c r="H267" s="4"/>
      <c r="I267" s="4"/>
      <c r="J267" s="4"/>
      <c r="K267" s="4"/>
      <c r="L267" s="4"/>
      <c r="M267" s="4"/>
      <c r="N267" s="4"/>
      <c r="O267" s="4"/>
      <c r="P267" s="4"/>
      <c r="Q267" s="4"/>
      <c r="R267" s="4"/>
      <c r="S267" s="4"/>
      <c r="T267" s="4"/>
      <c r="U267" s="4"/>
      <c r="V267" s="4"/>
      <c r="W267" s="4"/>
      <c r="X267" s="4"/>
      <c r="Y267" s="4"/>
      <c r="Z267" s="4"/>
    </row>
    <row r="268" spans="1:26" ht="15.75" customHeight="1" x14ac:dyDescent="0.2">
      <c r="A268" s="1" t="s">
        <v>533</v>
      </c>
      <c r="B268" s="1" t="s">
        <v>534</v>
      </c>
      <c r="C268" s="5" t="str">
        <f ca="1">IFERROR(__xludf.DUMMYFUNCTION("REGEXEXTRACT($B268, $E$2)"),"ccu")</f>
        <v>ccu</v>
      </c>
      <c r="E268" s="4"/>
      <c r="F268" s="4"/>
      <c r="G268" s="4"/>
      <c r="H268" s="4"/>
      <c r="I268" s="4"/>
      <c r="J268" s="4"/>
      <c r="K268" s="4"/>
      <c r="L268" s="4"/>
      <c r="M268" s="4"/>
      <c r="N268" s="4"/>
      <c r="O268" s="4"/>
      <c r="P268" s="4"/>
      <c r="Q268" s="4"/>
      <c r="R268" s="4"/>
      <c r="S268" s="4"/>
      <c r="T268" s="4"/>
      <c r="U268" s="4"/>
      <c r="V268" s="4"/>
      <c r="W268" s="4"/>
      <c r="X268" s="4"/>
      <c r="Y268" s="4"/>
      <c r="Z268" s="4"/>
    </row>
    <row r="269" spans="1:26" ht="15.75" customHeight="1" x14ac:dyDescent="0.2">
      <c r="A269" s="1" t="s">
        <v>535</v>
      </c>
      <c r="B269" s="1" t="s">
        <v>536</v>
      </c>
      <c r="C269" s="5" t="str">
        <f ca="1">IFERROR(__xludf.DUMMYFUNCTION("REGEXEXTRACT($B269, $E$2)"),"coloradocollege")</f>
        <v>coloradocollege</v>
      </c>
      <c r="E269" s="4"/>
      <c r="F269" s="4"/>
      <c r="G269" s="4"/>
      <c r="H269" s="4"/>
      <c r="I269" s="4"/>
      <c r="J269" s="4"/>
      <c r="K269" s="4"/>
      <c r="L269" s="4"/>
      <c r="M269" s="4"/>
      <c r="N269" s="4"/>
      <c r="O269" s="4"/>
      <c r="P269" s="4"/>
      <c r="Q269" s="4"/>
      <c r="R269" s="4"/>
      <c r="S269" s="4"/>
      <c r="T269" s="4"/>
      <c r="U269" s="4"/>
      <c r="V269" s="4"/>
      <c r="W269" s="4"/>
      <c r="X269" s="4"/>
      <c r="Y269" s="4"/>
      <c r="Z269" s="4"/>
    </row>
    <row r="270" spans="1:26" ht="15.75" customHeight="1" x14ac:dyDescent="0.2">
      <c r="A270" s="1" t="s">
        <v>537</v>
      </c>
      <c r="B270" s="1" t="s">
        <v>538</v>
      </c>
      <c r="C270" s="5" t="str">
        <f ca="1">IFERROR(__xludf.DUMMYFUNCTION("REGEXEXTRACT($B270, $E$2)"),"coloradomesa")</f>
        <v>coloradomesa</v>
      </c>
      <c r="E270" s="4"/>
      <c r="F270" s="4"/>
      <c r="G270" s="4"/>
      <c r="H270" s="4"/>
      <c r="I270" s="4"/>
      <c r="J270" s="4"/>
      <c r="K270" s="4"/>
      <c r="L270" s="4"/>
      <c r="M270" s="4"/>
      <c r="N270" s="4"/>
      <c r="O270" s="4"/>
      <c r="P270" s="4"/>
      <c r="Q270" s="4"/>
      <c r="R270" s="4"/>
      <c r="S270" s="4"/>
      <c r="T270" s="4"/>
      <c r="U270" s="4"/>
      <c r="V270" s="4"/>
      <c r="W270" s="4"/>
      <c r="X270" s="4"/>
      <c r="Y270" s="4"/>
      <c r="Z270" s="4"/>
    </row>
    <row r="271" spans="1:26" ht="15.75" customHeight="1" x14ac:dyDescent="0.2">
      <c r="A271" s="1" t="s">
        <v>539</v>
      </c>
      <c r="B271" s="1" t="s">
        <v>540</v>
      </c>
      <c r="C271" s="5" t="str">
        <f ca="1">IFERROR(__xludf.DUMMYFUNCTION("REGEXEXTRACT($B271, $E$2)"),"mines")</f>
        <v>mines</v>
      </c>
      <c r="E271" s="4"/>
      <c r="F271" s="4"/>
      <c r="G271" s="4"/>
      <c r="H271" s="4"/>
      <c r="I271" s="4"/>
      <c r="J271" s="4"/>
      <c r="K271" s="4"/>
      <c r="L271" s="4"/>
      <c r="M271" s="4"/>
      <c r="N271" s="4"/>
      <c r="O271" s="4"/>
      <c r="P271" s="4"/>
      <c r="Q271" s="4"/>
      <c r="R271" s="4"/>
      <c r="S271" s="4"/>
      <c r="T271" s="4"/>
      <c r="U271" s="4"/>
      <c r="V271" s="4"/>
      <c r="W271" s="4"/>
      <c r="X271" s="4"/>
      <c r="Y271" s="4"/>
      <c r="Z271" s="4"/>
    </row>
    <row r="272" spans="1:26" ht="15.75" customHeight="1" x14ac:dyDescent="0.2">
      <c r="A272" s="1" t="s">
        <v>541</v>
      </c>
      <c r="B272" s="1" t="s">
        <v>542</v>
      </c>
      <c r="C272" s="5" t="str">
        <f ca="1">IFERROR(__xludf.DUMMYFUNCTION("REGEXEXTRACT($B272, $E$2)"),"colostate")</f>
        <v>colostate</v>
      </c>
      <c r="E272" s="4"/>
      <c r="F272" s="4"/>
      <c r="G272" s="4"/>
      <c r="H272" s="4"/>
      <c r="I272" s="4"/>
      <c r="J272" s="4"/>
      <c r="K272" s="4"/>
      <c r="L272" s="4"/>
      <c r="M272" s="4"/>
      <c r="N272" s="4"/>
      <c r="O272" s="4"/>
      <c r="P272" s="4"/>
      <c r="Q272" s="4"/>
      <c r="R272" s="4"/>
      <c r="S272" s="4"/>
      <c r="T272" s="4"/>
      <c r="U272" s="4"/>
      <c r="V272" s="4"/>
      <c r="W272" s="4"/>
      <c r="X272" s="4"/>
      <c r="Y272" s="4"/>
      <c r="Z272" s="4"/>
    </row>
    <row r="273" spans="1:26" ht="15.75" customHeight="1" x14ac:dyDescent="0.2">
      <c r="A273" s="1" t="s">
        <v>543</v>
      </c>
      <c r="B273" s="1" t="s">
        <v>544</v>
      </c>
      <c r="C273" s="5" t="str">
        <f ca="1">IFERROR(__xludf.DUMMYFUNCTION("REGEXEXTRACT($B273, $E$2)"),"csupueblo")</f>
        <v>csupueblo</v>
      </c>
      <c r="E273" s="4"/>
      <c r="F273" s="4"/>
      <c r="G273" s="4"/>
      <c r="H273" s="4"/>
      <c r="I273" s="4"/>
      <c r="J273" s="4"/>
      <c r="K273" s="4"/>
      <c r="L273" s="4"/>
      <c r="M273" s="4"/>
      <c r="N273" s="4"/>
      <c r="O273" s="4"/>
      <c r="P273" s="4"/>
      <c r="Q273" s="4"/>
      <c r="R273" s="4"/>
      <c r="S273" s="4"/>
      <c r="T273" s="4"/>
      <c r="U273" s="4"/>
      <c r="V273" s="4"/>
      <c r="W273" s="4"/>
      <c r="X273" s="4"/>
      <c r="Y273" s="4"/>
      <c r="Z273" s="4"/>
    </row>
    <row r="274" spans="1:26" ht="15.75" customHeight="1" x14ac:dyDescent="0.2">
      <c r="A274" s="1" t="s">
        <v>545</v>
      </c>
      <c r="B274" s="1" t="s">
        <v>546</v>
      </c>
      <c r="C274" s="5" t="str">
        <f ca="1">IFERROR(__xludf.DUMMYFUNCTION("REGEXEXTRACT($B274, $E$2)"),"ccis")</f>
        <v>ccis</v>
      </c>
      <c r="E274" s="4"/>
      <c r="F274" s="4"/>
      <c r="G274" s="4"/>
      <c r="H274" s="4"/>
      <c r="I274" s="4"/>
      <c r="J274" s="4"/>
      <c r="K274" s="4"/>
      <c r="L274" s="4"/>
      <c r="M274" s="4"/>
      <c r="N274" s="4"/>
      <c r="O274" s="4"/>
      <c r="P274" s="4"/>
      <c r="Q274" s="4"/>
      <c r="R274" s="4"/>
      <c r="S274" s="4"/>
      <c r="T274" s="4"/>
      <c r="U274" s="4"/>
      <c r="V274" s="4"/>
      <c r="W274" s="4"/>
      <c r="X274" s="4"/>
      <c r="Y274" s="4"/>
      <c r="Z274" s="4"/>
    </row>
    <row r="275" spans="1:26" ht="15.75" customHeight="1" x14ac:dyDescent="0.2">
      <c r="A275" s="1" t="s">
        <v>545</v>
      </c>
      <c r="B275" s="1" t="s">
        <v>547</v>
      </c>
      <c r="C275" s="5" t="str">
        <f ca="1">IFERROR(__xludf.DUMMYFUNCTION("REGEXEXTRACT($B275, $E$2)"),"columbiasc")</f>
        <v>columbiasc</v>
      </c>
      <c r="E275" s="4"/>
      <c r="F275" s="4"/>
      <c r="G275" s="4"/>
      <c r="H275" s="4"/>
      <c r="I275" s="4"/>
      <c r="J275" s="4"/>
      <c r="K275" s="4"/>
      <c r="L275" s="4"/>
      <c r="M275" s="4"/>
      <c r="N275" s="4"/>
      <c r="O275" s="4"/>
      <c r="P275" s="4"/>
      <c r="Q275" s="4"/>
      <c r="R275" s="4"/>
      <c r="S275" s="4"/>
      <c r="T275" s="4"/>
      <c r="U275" s="4"/>
      <c r="V275" s="4"/>
      <c r="W275" s="4"/>
      <c r="X275" s="4"/>
      <c r="Y275" s="4"/>
      <c r="Z275" s="4"/>
    </row>
    <row r="276" spans="1:26" ht="15.75" customHeight="1" x14ac:dyDescent="0.2">
      <c r="A276" s="1" t="s">
        <v>548</v>
      </c>
      <c r="B276" s="1" t="s">
        <v>549</v>
      </c>
      <c r="C276" s="5" t="str">
        <f ca="1">IFERROR(__xludf.DUMMYFUNCTION("REGEXEXTRACT($B276, $E$2)"),"colum")</f>
        <v>colum</v>
      </c>
      <c r="E276" s="4"/>
      <c r="F276" s="4"/>
      <c r="G276" s="4"/>
      <c r="H276" s="4"/>
      <c r="I276" s="4"/>
      <c r="J276" s="4"/>
      <c r="K276" s="4"/>
      <c r="L276" s="4"/>
      <c r="M276" s="4"/>
      <c r="N276" s="4"/>
      <c r="O276" s="4"/>
      <c r="P276" s="4"/>
      <c r="Q276" s="4"/>
      <c r="R276" s="4"/>
      <c r="S276" s="4"/>
      <c r="T276" s="4"/>
      <c r="U276" s="4"/>
      <c r="V276" s="4"/>
      <c r="W276" s="4"/>
      <c r="X276" s="4"/>
      <c r="Y276" s="4"/>
      <c r="Z276" s="4"/>
    </row>
    <row r="277" spans="1:26" ht="15.75" customHeight="1" x14ac:dyDescent="0.2">
      <c r="A277" s="1" t="s">
        <v>550</v>
      </c>
      <c r="B277" s="1" t="s">
        <v>551</v>
      </c>
      <c r="C277" s="5" t="str">
        <f ca="1">IFERROR(__xludf.DUMMYFUNCTION("REGEXEXTRACT($B277, $E$2)"),"columbiacollege")</f>
        <v>columbiacollege</v>
      </c>
      <c r="E277" s="4"/>
      <c r="F277" s="4"/>
      <c r="G277" s="4"/>
      <c r="H277" s="4"/>
      <c r="I277" s="4"/>
      <c r="J277" s="4"/>
      <c r="K277" s="4"/>
      <c r="L277" s="4"/>
      <c r="M277" s="4"/>
      <c r="N277" s="4"/>
      <c r="O277" s="4"/>
      <c r="P277" s="4"/>
      <c r="Q277" s="4"/>
      <c r="R277" s="4"/>
      <c r="S277" s="4"/>
      <c r="T277" s="4"/>
      <c r="U277" s="4"/>
      <c r="V277" s="4"/>
      <c r="W277" s="4"/>
      <c r="X277" s="4"/>
      <c r="Y277" s="4"/>
      <c r="Z277" s="4"/>
    </row>
    <row r="278" spans="1:26" ht="15.75" customHeight="1" x14ac:dyDescent="0.2">
      <c r="A278" s="1" t="s">
        <v>552</v>
      </c>
      <c r="B278" s="1" t="s">
        <v>553</v>
      </c>
      <c r="C278" s="5" t="str">
        <f ca="1">IFERROR(__xludf.DUMMYFUNCTION("REGEXEXTRACT($B278, $E$2)"),"ciu")</f>
        <v>ciu</v>
      </c>
      <c r="E278" s="4"/>
      <c r="F278" s="4"/>
      <c r="G278" s="4"/>
      <c r="H278" s="4"/>
      <c r="I278" s="4"/>
      <c r="J278" s="4"/>
      <c r="K278" s="4"/>
      <c r="L278" s="4"/>
      <c r="M278" s="4"/>
      <c r="N278" s="4"/>
      <c r="O278" s="4"/>
      <c r="P278" s="4"/>
      <c r="Q278" s="4"/>
      <c r="R278" s="4"/>
      <c r="S278" s="4"/>
      <c r="T278" s="4"/>
      <c r="U278" s="4"/>
      <c r="V278" s="4"/>
      <c r="W278" s="4"/>
      <c r="X278" s="4"/>
      <c r="Y278" s="4"/>
      <c r="Z278" s="4"/>
    </row>
    <row r="279" spans="1:26" ht="15.75" customHeight="1" x14ac:dyDescent="0.2">
      <c r="A279" s="1" t="s">
        <v>554</v>
      </c>
      <c r="B279" s="1" t="s">
        <v>555</v>
      </c>
      <c r="C279" s="5" t="str">
        <f ca="1">IFERROR(__xludf.DUMMYFUNCTION("REGEXEXTRACT($B279, $E$2)"),"ccad")</f>
        <v>ccad</v>
      </c>
      <c r="E279" s="4"/>
      <c r="F279" s="4"/>
      <c r="G279" s="4"/>
      <c r="H279" s="4"/>
      <c r="I279" s="4"/>
      <c r="J279" s="4"/>
      <c r="K279" s="4"/>
      <c r="L279" s="4"/>
      <c r="M279" s="4"/>
      <c r="N279" s="4"/>
      <c r="O279" s="4"/>
      <c r="P279" s="4"/>
      <c r="Q279" s="4"/>
      <c r="R279" s="4"/>
      <c r="S279" s="4"/>
      <c r="T279" s="4"/>
      <c r="U279" s="4"/>
      <c r="V279" s="4"/>
      <c r="W279" s="4"/>
      <c r="X279" s="4"/>
      <c r="Y279" s="4"/>
      <c r="Z279" s="4"/>
    </row>
    <row r="280" spans="1:26" ht="15.75" customHeight="1" x14ac:dyDescent="0.2">
      <c r="A280" s="1" t="s">
        <v>556</v>
      </c>
      <c r="B280" s="1" t="s">
        <v>557</v>
      </c>
      <c r="C280" s="5" t="str">
        <f ca="1">IFERROR(__xludf.DUMMYFUNCTION("REGEXEXTRACT($B280, $E$2)"),"columbusstate")</f>
        <v>columbusstate</v>
      </c>
      <c r="E280" s="4"/>
      <c r="F280" s="4"/>
      <c r="G280" s="4"/>
      <c r="H280" s="4"/>
      <c r="I280" s="4"/>
      <c r="J280" s="4"/>
      <c r="K280" s="4"/>
      <c r="L280" s="4"/>
      <c r="M280" s="4"/>
      <c r="N280" s="4"/>
      <c r="O280" s="4"/>
      <c r="P280" s="4"/>
      <c r="Q280" s="4"/>
      <c r="R280" s="4"/>
      <c r="S280" s="4"/>
      <c r="T280" s="4"/>
      <c r="U280" s="4"/>
      <c r="V280" s="4"/>
      <c r="W280" s="4"/>
      <c r="X280" s="4"/>
      <c r="Y280" s="4"/>
      <c r="Z280" s="4"/>
    </row>
    <row r="281" spans="1:26" ht="15.75" customHeight="1" x14ac:dyDescent="0.2">
      <c r="A281" s="1" t="s">
        <v>558</v>
      </c>
      <c r="B281" s="1" t="s">
        <v>559</v>
      </c>
      <c r="C281" s="5" t="str">
        <f ca="1">IFERROR(__xludf.DUMMYFUNCTION("REGEXEXTRACT($B281, $E$2)"),"concord")</f>
        <v>concord</v>
      </c>
      <c r="E281" s="4"/>
      <c r="F281" s="4"/>
      <c r="G281" s="4"/>
      <c r="H281" s="4"/>
      <c r="I281" s="4"/>
      <c r="J281" s="4"/>
      <c r="K281" s="4"/>
      <c r="L281" s="4"/>
      <c r="M281" s="4"/>
      <c r="N281" s="4"/>
      <c r="O281" s="4"/>
      <c r="P281" s="4"/>
      <c r="Q281" s="4"/>
      <c r="R281" s="4"/>
      <c r="S281" s="4"/>
      <c r="T281" s="4"/>
      <c r="U281" s="4"/>
      <c r="V281" s="4"/>
      <c r="W281" s="4"/>
      <c r="X281" s="4"/>
      <c r="Y281" s="4"/>
      <c r="Z281" s="4"/>
    </row>
    <row r="282" spans="1:26" ht="15.75" customHeight="1" x14ac:dyDescent="0.2">
      <c r="A282" s="1" t="s">
        <v>560</v>
      </c>
      <c r="B282" s="1" t="s">
        <v>561</v>
      </c>
      <c r="C282" s="5" t="str">
        <f ca="1">IFERROR(__xludf.DUMMYFUNCTION("REGEXEXTRACT($B282, $E$2)"),"concordia-ny")</f>
        <v>concordia-ny</v>
      </c>
      <c r="E282" s="4"/>
      <c r="F282" s="4"/>
      <c r="G282" s="4"/>
      <c r="H282" s="4"/>
      <c r="I282" s="4"/>
      <c r="J282" s="4"/>
      <c r="K282" s="4"/>
      <c r="L282" s="4"/>
      <c r="M282" s="4"/>
      <c r="N282" s="4"/>
      <c r="O282" s="4"/>
      <c r="P282" s="4"/>
      <c r="Q282" s="4"/>
      <c r="R282" s="4"/>
      <c r="S282" s="4"/>
      <c r="T282" s="4"/>
      <c r="U282" s="4"/>
      <c r="V282" s="4"/>
      <c r="W282" s="4"/>
      <c r="X282" s="4"/>
      <c r="Y282" s="4"/>
      <c r="Z282" s="4"/>
    </row>
    <row r="283" spans="1:26" ht="15.75" customHeight="1" x14ac:dyDescent="0.2">
      <c r="A283" s="1" t="s">
        <v>562</v>
      </c>
      <c r="B283" s="1" t="s">
        <v>563</v>
      </c>
      <c r="C283" s="5" t="str">
        <f ca="1">IFERROR(__xludf.DUMMYFUNCTION("REGEXEXTRACT($B283, $E$2)"),"cord")</f>
        <v>cord</v>
      </c>
      <c r="E283" s="4"/>
      <c r="F283" s="4"/>
      <c r="G283" s="4"/>
      <c r="H283" s="4"/>
      <c r="I283" s="4"/>
      <c r="J283" s="4"/>
      <c r="K283" s="4"/>
      <c r="L283" s="4"/>
      <c r="M283" s="4"/>
      <c r="N283" s="4"/>
      <c r="O283" s="4"/>
      <c r="P283" s="4"/>
      <c r="Q283" s="4"/>
      <c r="R283" s="4"/>
      <c r="S283" s="4"/>
      <c r="T283" s="4"/>
      <c r="U283" s="4"/>
      <c r="V283" s="4"/>
      <c r="W283" s="4"/>
      <c r="X283" s="4"/>
      <c r="Y283" s="4"/>
      <c r="Z283" s="4"/>
    </row>
    <row r="284" spans="1:26" ht="15.75" customHeight="1" x14ac:dyDescent="0.2">
      <c r="A284" s="1" t="s">
        <v>564</v>
      </c>
      <c r="B284" s="1" t="s">
        <v>565</v>
      </c>
      <c r="C284" s="5" t="str">
        <f ca="1">IFERROR(__xludf.DUMMYFUNCTION("REGEXEXTRACT($B284, $E$2)"),"CUChicago")</f>
        <v>CUChicago</v>
      </c>
      <c r="E284" s="4"/>
      <c r="F284" s="4"/>
      <c r="G284" s="4"/>
      <c r="H284" s="4"/>
      <c r="I284" s="4"/>
      <c r="J284" s="4"/>
      <c r="K284" s="4"/>
      <c r="L284" s="4"/>
      <c r="M284" s="4"/>
      <c r="N284" s="4"/>
      <c r="O284" s="4"/>
      <c r="P284" s="4"/>
      <c r="Q284" s="4"/>
      <c r="R284" s="4"/>
      <c r="S284" s="4"/>
      <c r="T284" s="4"/>
      <c r="U284" s="4"/>
      <c r="V284" s="4"/>
      <c r="W284" s="4"/>
      <c r="X284" s="4"/>
      <c r="Y284" s="4"/>
      <c r="Z284" s="4"/>
    </row>
    <row r="285" spans="1:26" ht="15.75" customHeight="1" x14ac:dyDescent="0.2">
      <c r="A285" s="1" t="s">
        <v>566</v>
      </c>
      <c r="B285" s="1" t="s">
        <v>567</v>
      </c>
      <c r="C285" s="5" t="str">
        <f ca="1">IFERROR(__xludf.DUMMYFUNCTION("REGEXEXTRACT($B285, $E$2)"),"cui")</f>
        <v>cui</v>
      </c>
      <c r="E285" s="4"/>
      <c r="F285" s="4"/>
      <c r="G285" s="4"/>
      <c r="H285" s="4"/>
      <c r="I285" s="4"/>
      <c r="J285" s="4"/>
      <c r="K285" s="4"/>
      <c r="L285" s="4"/>
      <c r="M285" s="4"/>
      <c r="N285" s="4"/>
      <c r="O285" s="4"/>
      <c r="P285" s="4"/>
      <c r="Q285" s="4"/>
      <c r="R285" s="4"/>
      <c r="S285" s="4"/>
      <c r="T285" s="4"/>
      <c r="U285" s="4"/>
      <c r="V285" s="4"/>
      <c r="W285" s="4"/>
      <c r="X285" s="4"/>
      <c r="Y285" s="4"/>
      <c r="Z285" s="4"/>
    </row>
    <row r="286" spans="1:26" ht="15.75" customHeight="1" x14ac:dyDescent="0.2">
      <c r="A286" s="1" t="s">
        <v>568</v>
      </c>
      <c r="B286" s="1" t="s">
        <v>569</v>
      </c>
      <c r="C286" s="5" t="str">
        <f ca="1">IFERROR(__xludf.DUMMYFUNCTION("REGEXEXTRACT($B286, $E$2)"),"cune")</f>
        <v>cune</v>
      </c>
      <c r="E286" s="4"/>
      <c r="F286" s="4"/>
      <c r="G286" s="4"/>
      <c r="H286" s="4"/>
      <c r="I286" s="4"/>
      <c r="J286" s="4"/>
      <c r="K286" s="4"/>
      <c r="L286" s="4"/>
      <c r="M286" s="4"/>
      <c r="N286" s="4"/>
      <c r="O286" s="4"/>
      <c r="P286" s="4"/>
      <c r="Q286" s="4"/>
      <c r="R286" s="4"/>
      <c r="S286" s="4"/>
      <c r="T286" s="4"/>
      <c r="U286" s="4"/>
      <c r="V286" s="4"/>
      <c r="W286" s="4"/>
      <c r="X286" s="4"/>
      <c r="Y286" s="4"/>
      <c r="Z286" s="4"/>
    </row>
    <row r="287" spans="1:26" ht="15.75" customHeight="1" x14ac:dyDescent="0.2">
      <c r="A287" s="1" t="s">
        <v>570</v>
      </c>
      <c r="B287" s="1" t="s">
        <v>571</v>
      </c>
      <c r="C287" s="5" t="str">
        <f ca="1">IFERROR(__xludf.DUMMYFUNCTION("REGEXEXTRACT($B287, $E$2)"),"cu-portland")</f>
        <v>cu-portland</v>
      </c>
      <c r="E287" s="4"/>
      <c r="F287" s="4"/>
      <c r="G287" s="4"/>
      <c r="H287" s="4"/>
      <c r="I287" s="4"/>
      <c r="J287" s="4"/>
      <c r="K287" s="4"/>
      <c r="L287" s="4"/>
      <c r="M287" s="4"/>
      <c r="N287" s="4"/>
      <c r="O287" s="4"/>
      <c r="P287" s="4"/>
      <c r="Q287" s="4"/>
      <c r="R287" s="4"/>
      <c r="S287" s="4"/>
      <c r="T287" s="4"/>
      <c r="U287" s="4"/>
      <c r="V287" s="4"/>
      <c r="W287" s="4"/>
      <c r="X287" s="4"/>
      <c r="Y287" s="4"/>
      <c r="Z287" s="4"/>
    </row>
    <row r="288" spans="1:26" ht="15.75" customHeight="1" x14ac:dyDescent="0.2">
      <c r="A288" s="1" t="s">
        <v>572</v>
      </c>
      <c r="B288" s="1" t="s">
        <v>573</v>
      </c>
      <c r="C288" s="5" t="str">
        <f ca="1">IFERROR(__xludf.DUMMYFUNCTION("REGEXEXTRACT($B288, $E$2)"),"csp")</f>
        <v>csp</v>
      </c>
      <c r="E288" s="4"/>
      <c r="F288" s="4"/>
      <c r="G288" s="4"/>
      <c r="H288" s="4"/>
      <c r="I288" s="4"/>
      <c r="J288" s="4"/>
      <c r="K288" s="4"/>
      <c r="L288" s="4"/>
      <c r="M288" s="4"/>
      <c r="N288" s="4"/>
      <c r="O288" s="4"/>
      <c r="P288" s="4"/>
      <c r="Q288" s="4"/>
      <c r="R288" s="4"/>
      <c r="S288" s="4"/>
      <c r="T288" s="4"/>
      <c r="U288" s="4"/>
      <c r="V288" s="4"/>
      <c r="W288" s="4"/>
      <c r="X288" s="4"/>
      <c r="Y288" s="4"/>
      <c r="Z288" s="4"/>
    </row>
    <row r="289" spans="1:26" ht="15.75" customHeight="1" x14ac:dyDescent="0.2">
      <c r="A289" s="1" t="s">
        <v>574</v>
      </c>
      <c r="B289" s="1" t="s">
        <v>575</v>
      </c>
      <c r="C289" s="5" t="str">
        <f ca="1">IFERROR(__xludf.DUMMYFUNCTION("REGEXEXTRACT($B289, $E$2)"),"concordia")</f>
        <v>concordia</v>
      </c>
      <c r="E289" s="4"/>
      <c r="F289" s="4"/>
      <c r="G289" s="4"/>
      <c r="H289" s="4"/>
      <c r="I289" s="4"/>
      <c r="J289" s="4"/>
      <c r="K289" s="4"/>
      <c r="L289" s="4"/>
      <c r="M289" s="4"/>
      <c r="N289" s="4"/>
      <c r="O289" s="4"/>
      <c r="P289" s="4"/>
      <c r="Q289" s="4"/>
      <c r="R289" s="4"/>
      <c r="S289" s="4"/>
      <c r="T289" s="4"/>
      <c r="U289" s="4"/>
      <c r="V289" s="4"/>
      <c r="W289" s="4"/>
      <c r="X289" s="4"/>
      <c r="Y289" s="4"/>
      <c r="Z289" s="4"/>
    </row>
    <row r="290" spans="1:26" ht="15.75" customHeight="1" x14ac:dyDescent="0.2">
      <c r="A290" s="1" t="s">
        <v>576</v>
      </c>
      <c r="B290" s="1" t="s">
        <v>577</v>
      </c>
      <c r="C290" s="5" t="str">
        <f ca="1">IFERROR(__xludf.DUMMYFUNCTION("REGEXEXTRACT($B290, $E$2)"),"cuw")</f>
        <v>cuw</v>
      </c>
      <c r="E290" s="4"/>
      <c r="F290" s="4"/>
      <c r="G290" s="4"/>
      <c r="H290" s="4"/>
      <c r="I290" s="4"/>
      <c r="J290" s="4"/>
      <c r="K290" s="4"/>
      <c r="L290" s="4"/>
      <c r="M290" s="4"/>
      <c r="N290" s="4"/>
      <c r="O290" s="4"/>
      <c r="P290" s="4"/>
      <c r="Q290" s="4"/>
      <c r="R290" s="4"/>
      <c r="S290" s="4"/>
      <c r="T290" s="4"/>
      <c r="U290" s="4"/>
      <c r="V290" s="4"/>
      <c r="W290" s="4"/>
      <c r="X290" s="4"/>
      <c r="Y290" s="4"/>
      <c r="Z290" s="4"/>
    </row>
    <row r="291" spans="1:26" ht="15.75" customHeight="1" x14ac:dyDescent="0.2">
      <c r="A291" s="1" t="s">
        <v>578</v>
      </c>
      <c r="B291" s="1" t="s">
        <v>579</v>
      </c>
      <c r="C291" s="5" t="str">
        <f ca="1">IFERROR(__xludf.DUMMYFUNCTION("REGEXEXTRACT($B291, $E$2)"),"conncoll")</f>
        <v>conncoll</v>
      </c>
      <c r="E291" s="4"/>
      <c r="F291" s="4"/>
      <c r="G291" s="4"/>
      <c r="H291" s="4"/>
      <c r="I291" s="4"/>
      <c r="J291" s="4"/>
      <c r="K291" s="4"/>
      <c r="L291" s="4"/>
      <c r="M291" s="4"/>
      <c r="N291" s="4"/>
      <c r="O291" s="4"/>
      <c r="P291" s="4"/>
      <c r="Q291" s="4"/>
      <c r="R291" s="4"/>
      <c r="S291" s="4"/>
      <c r="T291" s="4"/>
      <c r="U291" s="4"/>
      <c r="V291" s="4"/>
      <c r="W291" s="4"/>
      <c r="X291" s="4"/>
      <c r="Y291" s="4"/>
      <c r="Z291" s="4"/>
    </row>
    <row r="292" spans="1:26" ht="15.75" customHeight="1" x14ac:dyDescent="0.2">
      <c r="A292" s="1" t="s">
        <v>580</v>
      </c>
      <c r="B292" s="1" t="s">
        <v>581</v>
      </c>
      <c r="C292" s="5" t="str">
        <f ca="1">IFERROR(__xludf.DUMMYFUNCTION("REGEXEXTRACT($B292, $E$2)"),"cmpr")</f>
        <v>cmpr</v>
      </c>
      <c r="E292" s="4"/>
      <c r="F292" s="4"/>
      <c r="G292" s="4"/>
      <c r="H292" s="4"/>
      <c r="I292" s="4"/>
      <c r="J292" s="4"/>
      <c r="K292" s="4"/>
      <c r="L292" s="4"/>
      <c r="M292" s="4"/>
      <c r="N292" s="4"/>
      <c r="O292" s="4"/>
      <c r="P292" s="4"/>
      <c r="Q292" s="4"/>
      <c r="R292" s="4"/>
      <c r="S292" s="4"/>
      <c r="T292" s="4"/>
      <c r="U292" s="4"/>
      <c r="V292" s="4"/>
      <c r="W292" s="4"/>
      <c r="X292" s="4"/>
      <c r="Y292" s="4"/>
      <c r="Z292" s="4"/>
    </row>
    <row r="293" spans="1:26" ht="15.75" customHeight="1" x14ac:dyDescent="0.2">
      <c r="A293" s="1" t="s">
        <v>582</v>
      </c>
      <c r="B293" s="1" t="s">
        <v>583</v>
      </c>
      <c r="C293" s="5" t="str">
        <f ca="1">IFERROR(__xludf.DUMMYFUNCTION("REGEXEXTRACT($B293, $E$2)"),"converse")</f>
        <v>converse</v>
      </c>
      <c r="E293" s="4"/>
      <c r="F293" s="4"/>
      <c r="G293" s="4"/>
      <c r="H293" s="4"/>
      <c r="I293" s="4"/>
      <c r="J293" s="4"/>
      <c r="K293" s="4"/>
      <c r="L293" s="4"/>
      <c r="M293" s="4"/>
      <c r="N293" s="4"/>
      <c r="O293" s="4"/>
      <c r="P293" s="4"/>
      <c r="Q293" s="4"/>
      <c r="R293" s="4"/>
      <c r="S293" s="4"/>
      <c r="T293" s="4"/>
      <c r="U293" s="4"/>
      <c r="V293" s="4"/>
      <c r="W293" s="4"/>
      <c r="X293" s="4"/>
      <c r="Y293" s="4"/>
      <c r="Z293" s="4"/>
    </row>
    <row r="294" spans="1:26" ht="15.75" customHeight="1" x14ac:dyDescent="0.2">
      <c r="A294" s="1" t="s">
        <v>584</v>
      </c>
      <c r="B294" s="1" t="s">
        <v>585</v>
      </c>
      <c r="C294" s="5" t="str">
        <f ca="1">IFERROR(__xludf.DUMMYFUNCTION("REGEXEXTRACT($B294, $E$2)"),"cooper")</f>
        <v>cooper</v>
      </c>
      <c r="E294" s="4"/>
      <c r="F294" s="4"/>
      <c r="G294" s="4"/>
      <c r="H294" s="4"/>
      <c r="I294" s="4"/>
      <c r="J294" s="4"/>
      <c r="K294" s="4"/>
      <c r="L294" s="4"/>
      <c r="M294" s="4"/>
      <c r="N294" s="4"/>
      <c r="O294" s="4"/>
      <c r="P294" s="4"/>
      <c r="Q294" s="4"/>
      <c r="R294" s="4"/>
      <c r="S294" s="4"/>
      <c r="T294" s="4"/>
      <c r="U294" s="4"/>
      <c r="V294" s="4"/>
      <c r="W294" s="4"/>
      <c r="X294" s="4"/>
      <c r="Y294" s="4"/>
      <c r="Z294" s="4"/>
    </row>
    <row r="295" spans="1:26" ht="15.75" customHeight="1" x14ac:dyDescent="0.2">
      <c r="A295" s="1" t="s">
        <v>586</v>
      </c>
      <c r="B295" s="1" t="s">
        <v>587</v>
      </c>
      <c r="C295" s="5" t="str">
        <f ca="1">IFERROR(__xludf.DUMMYFUNCTION("REGEXEXTRACT($B295, $E$2)"),"coppin")</f>
        <v>coppin</v>
      </c>
      <c r="E295" s="4"/>
      <c r="F295" s="4"/>
      <c r="G295" s="4"/>
      <c r="H295" s="4"/>
      <c r="I295" s="4"/>
      <c r="J295" s="4"/>
      <c r="K295" s="4"/>
      <c r="L295" s="4"/>
      <c r="M295" s="4"/>
      <c r="N295" s="4"/>
      <c r="O295" s="4"/>
      <c r="P295" s="4"/>
      <c r="Q295" s="4"/>
      <c r="R295" s="4"/>
      <c r="S295" s="4"/>
      <c r="T295" s="4"/>
      <c r="U295" s="4"/>
      <c r="V295" s="4"/>
      <c r="W295" s="4"/>
      <c r="X295" s="4"/>
      <c r="Y295" s="4"/>
      <c r="Z295" s="4"/>
    </row>
    <row r="296" spans="1:26" ht="15.75" customHeight="1" x14ac:dyDescent="0.2">
      <c r="A296" s="1" t="s">
        <v>588</v>
      </c>
      <c r="B296" s="1" t="s">
        <v>589</v>
      </c>
      <c r="C296" s="5" t="str">
        <f ca="1">IFERROR(__xludf.DUMMYFUNCTION("REGEXEXTRACT($B296, $E$2)"),"corban")</f>
        <v>corban</v>
      </c>
      <c r="E296" s="4"/>
      <c r="F296" s="4"/>
      <c r="G296" s="4"/>
      <c r="H296" s="4"/>
      <c r="I296" s="4"/>
      <c r="J296" s="4"/>
      <c r="K296" s="4"/>
      <c r="L296" s="4"/>
      <c r="M296" s="4"/>
      <c r="N296" s="4"/>
      <c r="O296" s="4"/>
      <c r="P296" s="4"/>
      <c r="Q296" s="4"/>
      <c r="R296" s="4"/>
      <c r="S296" s="4"/>
      <c r="T296" s="4"/>
      <c r="U296" s="4"/>
      <c r="V296" s="4"/>
      <c r="W296" s="4"/>
      <c r="X296" s="4"/>
      <c r="Y296" s="4"/>
      <c r="Z296" s="4"/>
    </row>
    <row r="297" spans="1:26" ht="15.75" customHeight="1" x14ac:dyDescent="0.2">
      <c r="A297" s="1" t="s">
        <v>590</v>
      </c>
      <c r="B297" s="1" t="s">
        <v>591</v>
      </c>
      <c r="C297" s="5" t="str">
        <f ca="1">IFERROR(__xludf.DUMMYFUNCTION("REGEXEXTRACT($B297, $E$2)"),"cornellcollege")</f>
        <v>cornellcollege</v>
      </c>
      <c r="E297" s="4"/>
      <c r="F297" s="4"/>
      <c r="G297" s="4"/>
      <c r="H297" s="4"/>
      <c r="I297" s="4"/>
      <c r="J297" s="4"/>
      <c r="K297" s="4"/>
      <c r="L297" s="4"/>
      <c r="M297" s="4"/>
      <c r="N297" s="4"/>
      <c r="O297" s="4"/>
      <c r="P297" s="4"/>
      <c r="Q297" s="4"/>
      <c r="R297" s="4"/>
      <c r="S297" s="4"/>
      <c r="T297" s="4"/>
      <c r="U297" s="4"/>
      <c r="V297" s="4"/>
      <c r="W297" s="4"/>
      <c r="X297" s="4"/>
      <c r="Y297" s="4"/>
      <c r="Z297" s="4"/>
    </row>
    <row r="298" spans="1:26" ht="15.75" customHeight="1" x14ac:dyDescent="0.2">
      <c r="A298" s="1" t="s">
        <v>592</v>
      </c>
      <c r="B298" s="1" t="s">
        <v>593</v>
      </c>
      <c r="C298" s="5" t="str">
        <f ca="1">IFERROR(__xludf.DUMMYFUNCTION("REGEXEXTRACT($B298, $E$2)"),"cornerstone")</f>
        <v>cornerstone</v>
      </c>
      <c r="E298" s="4"/>
      <c r="F298" s="4"/>
      <c r="G298" s="4"/>
      <c r="H298" s="4"/>
      <c r="I298" s="4"/>
      <c r="J298" s="4"/>
      <c r="K298" s="4"/>
      <c r="L298" s="4"/>
      <c r="M298" s="4"/>
      <c r="N298" s="4"/>
      <c r="O298" s="4"/>
      <c r="P298" s="4"/>
      <c r="Q298" s="4"/>
      <c r="R298" s="4"/>
      <c r="S298" s="4"/>
      <c r="T298" s="4"/>
      <c r="U298" s="4"/>
      <c r="V298" s="4"/>
      <c r="W298" s="4"/>
      <c r="X298" s="4"/>
      <c r="Y298" s="4"/>
      <c r="Z298" s="4"/>
    </row>
    <row r="299" spans="1:26" ht="15.75" customHeight="1" x14ac:dyDescent="0.2">
      <c r="A299" s="1" t="s">
        <v>594</v>
      </c>
      <c r="B299" s="1" t="s">
        <v>595</v>
      </c>
      <c r="C299" s="5" t="str">
        <f ca="1">IFERROR(__xludf.DUMMYFUNCTION("REGEXEXTRACT($B299, $E$2)"),"cornish")</f>
        <v>cornish</v>
      </c>
      <c r="E299" s="4"/>
      <c r="F299" s="4"/>
      <c r="G299" s="4"/>
      <c r="H299" s="4"/>
      <c r="I299" s="4"/>
      <c r="J299" s="4"/>
      <c r="K299" s="4"/>
      <c r="L299" s="4"/>
      <c r="M299" s="4"/>
      <c r="N299" s="4"/>
      <c r="O299" s="4"/>
      <c r="P299" s="4"/>
      <c r="Q299" s="4"/>
      <c r="R299" s="4"/>
      <c r="S299" s="4"/>
      <c r="T299" s="4"/>
      <c r="U299" s="4"/>
      <c r="V299" s="4"/>
      <c r="W299" s="4"/>
      <c r="X299" s="4"/>
      <c r="Y299" s="4"/>
      <c r="Z299" s="4"/>
    </row>
    <row r="300" spans="1:26" ht="15.75" customHeight="1" x14ac:dyDescent="0.2">
      <c r="A300" s="1" t="s">
        <v>596</v>
      </c>
      <c r="B300" s="1" t="s">
        <v>597</v>
      </c>
      <c r="C300" s="5" t="str">
        <f ca="1">IFERROR(__xludf.DUMMYFUNCTION("REGEXEXTRACT($B300, $E$2)"),"covenant")</f>
        <v>covenant</v>
      </c>
      <c r="E300" s="4"/>
      <c r="F300" s="4"/>
      <c r="G300" s="4"/>
      <c r="H300" s="4"/>
      <c r="I300" s="4"/>
      <c r="J300" s="4"/>
      <c r="K300" s="4"/>
      <c r="L300" s="4"/>
      <c r="M300" s="4"/>
      <c r="N300" s="4"/>
      <c r="O300" s="4"/>
      <c r="P300" s="4"/>
      <c r="Q300" s="4"/>
      <c r="R300" s="4"/>
      <c r="S300" s="4"/>
      <c r="T300" s="4"/>
      <c r="U300" s="4"/>
      <c r="V300" s="4"/>
      <c r="W300" s="4"/>
      <c r="X300" s="4"/>
      <c r="Y300" s="4"/>
      <c r="Z300" s="4"/>
    </row>
    <row r="301" spans="1:26" ht="15.75" customHeight="1" x14ac:dyDescent="0.2">
      <c r="A301" s="1" t="s">
        <v>598</v>
      </c>
      <c r="B301" s="1" t="s">
        <v>599</v>
      </c>
      <c r="C301" s="5" t="str">
        <f ca="1">IFERROR(__xludf.DUMMYFUNCTION("REGEXEXTRACT($B301, $E$2)"),"creighton")</f>
        <v>creighton</v>
      </c>
      <c r="E301" s="4"/>
      <c r="F301" s="4"/>
      <c r="G301" s="4"/>
      <c r="H301" s="4"/>
      <c r="I301" s="4"/>
      <c r="J301" s="4"/>
      <c r="K301" s="4"/>
      <c r="L301" s="4"/>
      <c r="M301" s="4"/>
      <c r="N301" s="4"/>
      <c r="O301" s="4"/>
      <c r="P301" s="4"/>
      <c r="Q301" s="4"/>
      <c r="R301" s="4"/>
      <c r="S301" s="4"/>
      <c r="T301" s="4"/>
      <c r="U301" s="4"/>
      <c r="V301" s="4"/>
      <c r="W301" s="4"/>
      <c r="X301" s="4"/>
      <c r="Y301" s="4"/>
      <c r="Z301" s="4"/>
    </row>
    <row r="302" spans="1:26" ht="15.75" customHeight="1" x14ac:dyDescent="0.2">
      <c r="A302" s="1" t="s">
        <v>600</v>
      </c>
      <c r="B302" s="1" t="s">
        <v>601</v>
      </c>
      <c r="C302" s="5" t="str">
        <f ca="1">IFERROR(__xludf.DUMMYFUNCTION("REGEXEXTRACT($B302, $E$2)"),"criswell")</f>
        <v>criswell</v>
      </c>
      <c r="E302" s="4"/>
      <c r="F302" s="4"/>
      <c r="G302" s="4"/>
      <c r="H302" s="4"/>
      <c r="I302" s="4"/>
      <c r="J302" s="4"/>
      <c r="K302" s="4"/>
      <c r="L302" s="4"/>
      <c r="M302" s="4"/>
      <c r="N302" s="4"/>
      <c r="O302" s="4"/>
      <c r="P302" s="4"/>
      <c r="Q302" s="4"/>
      <c r="R302" s="4"/>
      <c r="S302" s="4"/>
      <c r="T302" s="4"/>
      <c r="U302" s="4"/>
      <c r="V302" s="4"/>
      <c r="W302" s="4"/>
      <c r="X302" s="4"/>
      <c r="Y302" s="4"/>
      <c r="Z302" s="4"/>
    </row>
    <row r="303" spans="1:26" ht="15.75" customHeight="1" x14ac:dyDescent="0.2">
      <c r="A303" s="1" t="s">
        <v>602</v>
      </c>
      <c r="B303" s="1" t="s">
        <v>603</v>
      </c>
      <c r="C303" s="5" t="str">
        <f ca="1">IFERROR(__xludf.DUMMYFUNCTION("REGEXEXTRACT($B303, $E$2)"),"crown")</f>
        <v>crown</v>
      </c>
      <c r="E303" s="4"/>
      <c r="F303" s="4"/>
      <c r="G303" s="4"/>
      <c r="H303" s="4"/>
      <c r="I303" s="4"/>
      <c r="J303" s="4"/>
      <c r="K303" s="4"/>
      <c r="L303" s="4"/>
      <c r="M303" s="4"/>
      <c r="N303" s="4"/>
      <c r="O303" s="4"/>
      <c r="P303" s="4"/>
      <c r="Q303" s="4"/>
      <c r="R303" s="4"/>
      <c r="S303" s="4"/>
      <c r="T303" s="4"/>
      <c r="U303" s="4"/>
      <c r="V303" s="4"/>
      <c r="W303" s="4"/>
      <c r="X303" s="4"/>
      <c r="Y303" s="4"/>
      <c r="Z303" s="4"/>
    </row>
    <row r="304" spans="1:26" ht="15.75" customHeight="1" x14ac:dyDescent="0.2">
      <c r="A304" s="1" t="s">
        <v>604</v>
      </c>
      <c r="B304" s="1" t="s">
        <v>605</v>
      </c>
      <c r="C304" s="5" t="str">
        <f ca="1">IFERROR(__xludf.DUMMYFUNCTION("REGEXEXTRACT($B304, $E$2)"),"culinary")</f>
        <v>culinary</v>
      </c>
      <c r="E304" s="4"/>
      <c r="F304" s="4"/>
      <c r="G304" s="4"/>
      <c r="H304" s="4"/>
      <c r="I304" s="4"/>
      <c r="J304" s="4"/>
      <c r="K304" s="4"/>
      <c r="L304" s="4"/>
      <c r="M304" s="4"/>
      <c r="N304" s="4"/>
      <c r="O304" s="4"/>
      <c r="P304" s="4"/>
      <c r="Q304" s="4"/>
      <c r="R304" s="4"/>
      <c r="S304" s="4"/>
      <c r="T304" s="4"/>
      <c r="U304" s="4"/>
      <c r="V304" s="4"/>
      <c r="W304" s="4"/>
      <c r="X304" s="4"/>
      <c r="Y304" s="4"/>
      <c r="Z304" s="4"/>
    </row>
    <row r="305" spans="1:26" ht="15.75" customHeight="1" x14ac:dyDescent="0.2">
      <c r="A305" s="1" t="s">
        <v>606</v>
      </c>
      <c r="B305" s="1" t="s">
        <v>607</v>
      </c>
      <c r="C305" s="5" t="str">
        <f ca="1">IFERROR(__xludf.DUMMYFUNCTION("REGEXEXTRACT($B305, $E$2)"),"culver")</f>
        <v>culver</v>
      </c>
      <c r="E305" s="4"/>
      <c r="F305" s="4"/>
      <c r="G305" s="4"/>
      <c r="H305" s="4"/>
      <c r="I305" s="4"/>
      <c r="J305" s="4"/>
      <c r="K305" s="4"/>
      <c r="L305" s="4"/>
      <c r="M305" s="4"/>
      <c r="N305" s="4"/>
      <c r="O305" s="4"/>
      <c r="P305" s="4"/>
      <c r="Q305" s="4"/>
      <c r="R305" s="4"/>
      <c r="S305" s="4"/>
      <c r="T305" s="4"/>
      <c r="U305" s="4"/>
      <c r="V305" s="4"/>
      <c r="W305" s="4"/>
      <c r="X305" s="4"/>
      <c r="Y305" s="4"/>
      <c r="Z305" s="4"/>
    </row>
    <row r="306" spans="1:26" ht="15.75" customHeight="1" x14ac:dyDescent="0.2">
      <c r="A306" s="1" t="s">
        <v>608</v>
      </c>
      <c r="B306" s="1" t="s">
        <v>609</v>
      </c>
      <c r="C306" s="5" t="str">
        <f ca="1">IFERROR(__xludf.DUMMYFUNCTION("REGEXEXTRACT($B306, $E$2)"),"cumberland")</f>
        <v>cumberland</v>
      </c>
      <c r="E306" s="4"/>
      <c r="F306" s="4"/>
      <c r="G306" s="4"/>
      <c r="H306" s="4"/>
      <c r="I306" s="4"/>
      <c r="J306" s="4"/>
      <c r="K306" s="4"/>
      <c r="L306" s="4"/>
      <c r="M306" s="4"/>
      <c r="N306" s="4"/>
      <c r="O306" s="4"/>
      <c r="P306" s="4"/>
      <c r="Q306" s="4"/>
      <c r="R306" s="4"/>
      <c r="S306" s="4"/>
      <c r="T306" s="4"/>
      <c r="U306" s="4"/>
      <c r="V306" s="4"/>
      <c r="W306" s="4"/>
      <c r="X306" s="4"/>
      <c r="Y306" s="4"/>
      <c r="Z306" s="4"/>
    </row>
    <row r="307" spans="1:26" ht="15.75" customHeight="1" x14ac:dyDescent="0.2">
      <c r="A307" s="1" t="s">
        <v>610</v>
      </c>
      <c r="B307" s="1" t="s">
        <v>611</v>
      </c>
      <c r="C307" s="5" t="str">
        <f ca="1">IFERROR(__xludf.DUMMYFUNCTION("REGEXEXTRACT($B307, $E$2)"),"curry")</f>
        <v>curry</v>
      </c>
      <c r="E307" s="4"/>
      <c r="F307" s="4"/>
      <c r="G307" s="4"/>
      <c r="H307" s="4"/>
      <c r="I307" s="4"/>
      <c r="J307" s="4"/>
      <c r="K307" s="4"/>
      <c r="L307" s="4"/>
      <c r="M307" s="4"/>
      <c r="N307" s="4"/>
      <c r="O307" s="4"/>
      <c r="P307" s="4"/>
      <c r="Q307" s="4"/>
      <c r="R307" s="4"/>
      <c r="S307" s="4"/>
      <c r="T307" s="4"/>
      <c r="U307" s="4"/>
      <c r="V307" s="4"/>
      <c r="W307" s="4"/>
      <c r="X307" s="4"/>
      <c r="Y307" s="4"/>
      <c r="Z307" s="4"/>
    </row>
    <row r="308" spans="1:26" ht="15.75" customHeight="1" x14ac:dyDescent="0.2">
      <c r="A308" s="1" t="s">
        <v>612</v>
      </c>
      <c r="B308" s="1" t="s">
        <v>613</v>
      </c>
      <c r="C308" s="5" t="str">
        <f ca="1">IFERROR(__xludf.DUMMYFUNCTION("REGEXEXTRACT($B308, $E$2)"),"daemen")</f>
        <v>daemen</v>
      </c>
      <c r="E308" s="4"/>
      <c r="F308" s="4"/>
      <c r="G308" s="4"/>
      <c r="H308" s="4"/>
      <c r="I308" s="4"/>
      <c r="J308" s="4"/>
      <c r="K308" s="4"/>
      <c r="L308" s="4"/>
      <c r="M308" s="4"/>
      <c r="N308" s="4"/>
      <c r="O308" s="4"/>
      <c r="P308" s="4"/>
      <c r="Q308" s="4"/>
      <c r="R308" s="4"/>
      <c r="S308" s="4"/>
      <c r="T308" s="4"/>
      <c r="U308" s="4"/>
      <c r="V308" s="4"/>
      <c r="W308" s="4"/>
      <c r="X308" s="4"/>
      <c r="Y308" s="4"/>
      <c r="Z308" s="4"/>
    </row>
    <row r="309" spans="1:26" ht="15.75" customHeight="1" x14ac:dyDescent="0.2">
      <c r="A309" s="1" t="s">
        <v>614</v>
      </c>
      <c r="B309" s="1" t="s">
        <v>615</v>
      </c>
      <c r="C309" s="5" t="str">
        <f ca="1">IFERROR(__xludf.DUMMYFUNCTION("REGEXEXTRACT($B309, $E$2)"),"dsu")</f>
        <v>dsu</v>
      </c>
      <c r="E309" s="4"/>
      <c r="F309" s="4"/>
      <c r="G309" s="4"/>
      <c r="H309" s="4"/>
      <c r="I309" s="4"/>
      <c r="J309" s="4"/>
      <c r="K309" s="4"/>
      <c r="L309" s="4"/>
      <c r="M309" s="4"/>
      <c r="N309" s="4"/>
      <c r="O309" s="4"/>
      <c r="P309" s="4"/>
      <c r="Q309" s="4"/>
      <c r="R309" s="4"/>
      <c r="S309" s="4"/>
      <c r="T309" s="4"/>
      <c r="U309" s="4"/>
      <c r="V309" s="4"/>
      <c r="W309" s="4"/>
      <c r="X309" s="4"/>
      <c r="Y309" s="4"/>
      <c r="Z309" s="4"/>
    </row>
    <row r="310" spans="1:26" ht="15.75" customHeight="1" x14ac:dyDescent="0.2">
      <c r="A310" s="1" t="s">
        <v>616</v>
      </c>
      <c r="B310" s="1" t="s">
        <v>617</v>
      </c>
      <c r="C310" s="5" t="str">
        <f ca="1">IFERROR(__xludf.DUMMYFUNCTION("REGEXEXTRACT($B310, $E$2)"),"dwu")</f>
        <v>dwu</v>
      </c>
      <c r="E310" s="4"/>
      <c r="F310" s="4"/>
      <c r="G310" s="4"/>
      <c r="H310" s="4"/>
      <c r="I310" s="4"/>
      <c r="J310" s="4"/>
      <c r="K310" s="4"/>
      <c r="L310" s="4"/>
      <c r="M310" s="4"/>
      <c r="N310" s="4"/>
      <c r="O310" s="4"/>
      <c r="P310" s="4"/>
      <c r="Q310" s="4"/>
      <c r="R310" s="4"/>
      <c r="S310" s="4"/>
      <c r="T310" s="4"/>
      <c r="U310" s="4"/>
      <c r="V310" s="4"/>
      <c r="W310" s="4"/>
      <c r="X310" s="4"/>
      <c r="Y310" s="4"/>
      <c r="Z310" s="4"/>
    </row>
    <row r="311" spans="1:26" ht="15.75" customHeight="1" x14ac:dyDescent="0.2">
      <c r="A311" s="1" t="s">
        <v>618</v>
      </c>
      <c r="B311" s="1" t="s">
        <v>619</v>
      </c>
      <c r="C311" s="5" t="str">
        <f ca="1">IFERROR(__xludf.DUMMYFUNCTION("REGEXEXTRACT($B311, $E$2)"),"dbu")</f>
        <v>dbu</v>
      </c>
      <c r="E311" s="4"/>
      <c r="F311" s="4"/>
      <c r="G311" s="4"/>
      <c r="H311" s="4"/>
      <c r="I311" s="4"/>
      <c r="J311" s="4"/>
      <c r="K311" s="4"/>
      <c r="L311" s="4"/>
      <c r="M311" s="4"/>
      <c r="N311" s="4"/>
      <c r="O311" s="4"/>
      <c r="P311" s="4"/>
      <c r="Q311" s="4"/>
      <c r="R311" s="4"/>
      <c r="S311" s="4"/>
      <c r="T311" s="4"/>
      <c r="U311" s="4"/>
      <c r="V311" s="4"/>
      <c r="W311" s="4"/>
      <c r="X311" s="4"/>
      <c r="Y311" s="4"/>
      <c r="Z311" s="4"/>
    </row>
    <row r="312" spans="1:26" ht="15.75" customHeight="1" x14ac:dyDescent="0.2">
      <c r="A312" s="1" t="s">
        <v>620</v>
      </c>
      <c r="B312" s="1" t="s">
        <v>621</v>
      </c>
      <c r="C312" s="5" t="str">
        <f ca="1">IFERROR(__xludf.DUMMYFUNCTION("REGEXEXTRACT($B312, $E$2)"),"dallas")</f>
        <v>dallas</v>
      </c>
      <c r="E312" s="4"/>
      <c r="F312" s="4"/>
      <c r="G312" s="4"/>
      <c r="H312" s="4"/>
      <c r="I312" s="4"/>
      <c r="J312" s="4"/>
      <c r="K312" s="4"/>
      <c r="L312" s="4"/>
      <c r="M312" s="4"/>
      <c r="N312" s="4"/>
      <c r="O312" s="4"/>
      <c r="P312" s="4"/>
      <c r="Q312" s="4"/>
      <c r="R312" s="4"/>
      <c r="S312" s="4"/>
      <c r="T312" s="4"/>
      <c r="U312" s="4"/>
      <c r="V312" s="4"/>
      <c r="W312" s="4"/>
      <c r="X312" s="4"/>
      <c r="Y312" s="4"/>
      <c r="Z312" s="4"/>
    </row>
    <row r="313" spans="1:26" ht="15.75" customHeight="1" x14ac:dyDescent="0.2">
      <c r="A313" s="1" t="s">
        <v>622</v>
      </c>
      <c r="B313" s="1" t="s">
        <v>623</v>
      </c>
      <c r="C313" s="5" t="str">
        <f ca="1">IFERROR(__xludf.DUMMYFUNCTION("REGEXEXTRACT($B313, $E$2)"),"daltonstate")</f>
        <v>daltonstate</v>
      </c>
      <c r="E313" s="4"/>
      <c r="F313" s="4"/>
      <c r="G313" s="4"/>
      <c r="H313" s="4"/>
      <c r="I313" s="4"/>
      <c r="J313" s="4"/>
      <c r="K313" s="4"/>
      <c r="L313" s="4"/>
      <c r="M313" s="4"/>
      <c r="N313" s="4"/>
      <c r="O313" s="4"/>
      <c r="P313" s="4"/>
      <c r="Q313" s="4"/>
      <c r="R313" s="4"/>
      <c r="S313" s="4"/>
      <c r="T313" s="4"/>
      <c r="U313" s="4"/>
      <c r="V313" s="4"/>
      <c r="W313" s="4"/>
      <c r="X313" s="4"/>
      <c r="Y313" s="4"/>
      <c r="Z313" s="4"/>
    </row>
    <row r="314" spans="1:26" ht="15.75" customHeight="1" x14ac:dyDescent="0.2">
      <c r="A314" s="1" t="s">
        <v>624</v>
      </c>
      <c r="B314" s="8" t="s">
        <v>625</v>
      </c>
      <c r="C314" s="5" t="str">
        <f ca="1">IFERROR(__xludf.DUMMYFUNCTION("REGEXEXTRACT($B314, $E$2)"),"dartmouth")</f>
        <v>dartmouth</v>
      </c>
      <c r="E314" s="4"/>
      <c r="F314" s="4"/>
      <c r="G314" s="4"/>
      <c r="H314" s="4"/>
      <c r="I314" s="4"/>
      <c r="J314" s="4"/>
      <c r="K314" s="4"/>
      <c r="L314" s="4"/>
      <c r="M314" s="4"/>
      <c r="N314" s="4"/>
      <c r="O314" s="4"/>
      <c r="P314" s="4"/>
      <c r="Q314" s="4"/>
      <c r="R314" s="4"/>
      <c r="S314" s="4"/>
      <c r="T314" s="4"/>
      <c r="U314" s="4"/>
      <c r="V314" s="4"/>
      <c r="W314" s="4"/>
      <c r="X314" s="4"/>
      <c r="Y314" s="4"/>
      <c r="Z314" s="4"/>
    </row>
    <row r="315" spans="1:26" ht="15.75" customHeight="1" x14ac:dyDescent="0.2">
      <c r="A315" s="1" t="s">
        <v>626</v>
      </c>
      <c r="B315" s="1" t="s">
        <v>627</v>
      </c>
      <c r="C315" s="5" t="str">
        <f ca="1">IFERROR(__xludf.DUMMYFUNCTION("REGEXEXTRACT($B315, $E$2)"),"davenport")</f>
        <v>davenport</v>
      </c>
      <c r="E315" s="4"/>
      <c r="F315" s="4"/>
      <c r="G315" s="4"/>
      <c r="H315" s="4"/>
      <c r="I315" s="4"/>
      <c r="J315" s="4"/>
      <c r="K315" s="4"/>
      <c r="L315" s="4"/>
      <c r="M315" s="4"/>
      <c r="N315" s="4"/>
      <c r="O315" s="4"/>
      <c r="P315" s="4"/>
      <c r="Q315" s="4"/>
      <c r="R315" s="4"/>
      <c r="S315" s="4"/>
      <c r="T315" s="4"/>
      <c r="U315" s="4"/>
      <c r="V315" s="4"/>
      <c r="W315" s="4"/>
      <c r="X315" s="4"/>
      <c r="Y315" s="4"/>
      <c r="Z315" s="4"/>
    </row>
    <row r="316" spans="1:26" ht="15.75" customHeight="1" x14ac:dyDescent="0.2">
      <c r="A316" s="1" t="s">
        <v>628</v>
      </c>
      <c r="B316" s="1" t="s">
        <v>629</v>
      </c>
      <c r="C316" s="5" t="str">
        <f ca="1">IFERROR(__xludf.DUMMYFUNCTION("REGEXEXTRACT($B316, $E$2)"),"davidson")</f>
        <v>davidson</v>
      </c>
      <c r="E316" s="4"/>
      <c r="F316" s="4"/>
      <c r="G316" s="4"/>
      <c r="H316" s="4"/>
      <c r="I316" s="4"/>
      <c r="J316" s="4"/>
      <c r="K316" s="4"/>
      <c r="L316" s="4"/>
      <c r="M316" s="4"/>
      <c r="N316" s="4"/>
      <c r="O316" s="4"/>
      <c r="P316" s="4"/>
      <c r="Q316" s="4"/>
      <c r="R316" s="4"/>
      <c r="S316" s="4"/>
      <c r="T316" s="4"/>
      <c r="U316" s="4"/>
      <c r="V316" s="4"/>
      <c r="W316" s="4"/>
      <c r="X316" s="4"/>
      <c r="Y316" s="4"/>
      <c r="Z316" s="4"/>
    </row>
    <row r="317" spans="1:26" ht="15.75" customHeight="1" x14ac:dyDescent="0.2">
      <c r="A317" s="1" t="s">
        <v>630</v>
      </c>
      <c r="B317" s="1" t="s">
        <v>631</v>
      </c>
      <c r="C317" s="5" t="str">
        <f ca="1">IFERROR(__xludf.DUMMYFUNCTION("REGEXEXTRACT($B317, $E$2)"),"dewv")</f>
        <v>dewv</v>
      </c>
      <c r="E317" s="4"/>
      <c r="F317" s="4"/>
      <c r="G317" s="4"/>
      <c r="H317" s="4"/>
      <c r="I317" s="4"/>
      <c r="J317" s="4"/>
      <c r="K317" s="4"/>
      <c r="L317" s="4"/>
      <c r="M317" s="4"/>
      <c r="N317" s="4"/>
      <c r="O317" s="4"/>
      <c r="P317" s="4"/>
      <c r="Q317" s="4"/>
      <c r="R317" s="4"/>
      <c r="S317" s="4"/>
      <c r="T317" s="4"/>
      <c r="U317" s="4"/>
      <c r="V317" s="4"/>
      <c r="W317" s="4"/>
      <c r="X317" s="4"/>
      <c r="Y317" s="4"/>
      <c r="Z317" s="4"/>
    </row>
    <row r="318" spans="1:26" ht="15.75" customHeight="1" x14ac:dyDescent="0.2">
      <c r="A318" s="1" t="s">
        <v>632</v>
      </c>
      <c r="B318" s="1" t="s">
        <v>633</v>
      </c>
      <c r="C318" s="5" t="str">
        <f ca="1">IFERROR(__xludf.DUMMYFUNCTION("REGEXEXTRACT($B318, $E$2)"),"dean")</f>
        <v>dean</v>
      </c>
      <c r="E318" s="4"/>
      <c r="F318" s="4"/>
      <c r="G318" s="4"/>
      <c r="H318" s="4"/>
      <c r="I318" s="4"/>
      <c r="J318" s="4"/>
      <c r="K318" s="4"/>
      <c r="L318" s="4"/>
      <c r="M318" s="4"/>
      <c r="N318" s="4"/>
      <c r="O318" s="4"/>
      <c r="P318" s="4"/>
      <c r="Q318" s="4"/>
      <c r="R318" s="4"/>
      <c r="S318" s="4"/>
      <c r="T318" s="4"/>
      <c r="U318" s="4"/>
      <c r="V318" s="4"/>
      <c r="W318" s="4"/>
      <c r="X318" s="4"/>
      <c r="Y318" s="4"/>
      <c r="Z318" s="4"/>
    </row>
    <row r="319" spans="1:26" ht="15.75" customHeight="1" x14ac:dyDescent="0.2">
      <c r="A319" s="1" t="s">
        <v>634</v>
      </c>
      <c r="B319" s="1" t="s">
        <v>635</v>
      </c>
      <c r="C319" s="5" t="str">
        <f ca="1">IFERROR(__xludf.DUMMYFUNCTION("REGEXEXTRACT($B319, $E$2)"),"defiance")</f>
        <v>defiance</v>
      </c>
      <c r="E319" s="4"/>
      <c r="F319" s="4"/>
      <c r="G319" s="4"/>
      <c r="H319" s="4"/>
      <c r="I319" s="4"/>
      <c r="J319" s="4"/>
      <c r="K319" s="4"/>
      <c r="L319" s="4"/>
      <c r="M319" s="4"/>
      <c r="N319" s="4"/>
      <c r="O319" s="4"/>
      <c r="P319" s="4"/>
      <c r="Q319" s="4"/>
      <c r="R319" s="4"/>
      <c r="S319" s="4"/>
      <c r="T319" s="4"/>
      <c r="U319" s="4"/>
      <c r="V319" s="4"/>
      <c r="W319" s="4"/>
      <c r="X319" s="4"/>
      <c r="Y319" s="4"/>
      <c r="Z319" s="4"/>
    </row>
    <row r="320" spans="1:26" ht="15.75" customHeight="1" x14ac:dyDescent="0.2">
      <c r="A320" s="1" t="s">
        <v>636</v>
      </c>
      <c r="B320" s="1" t="s">
        <v>637</v>
      </c>
      <c r="C320" s="5" t="str">
        <f ca="1">IFERROR(__xludf.DUMMYFUNCTION("REGEXEXTRACT($B320, $E$2)"),"desu")</f>
        <v>desu</v>
      </c>
      <c r="E320" s="4"/>
      <c r="F320" s="4"/>
      <c r="G320" s="4"/>
      <c r="H320" s="4"/>
      <c r="I320" s="4"/>
      <c r="J320" s="4"/>
      <c r="K320" s="4"/>
      <c r="L320" s="4"/>
      <c r="M320" s="4"/>
      <c r="N320" s="4"/>
      <c r="O320" s="4"/>
      <c r="P320" s="4"/>
      <c r="Q320" s="4"/>
      <c r="R320" s="4"/>
      <c r="S320" s="4"/>
      <c r="T320" s="4"/>
      <c r="U320" s="4"/>
      <c r="V320" s="4"/>
      <c r="W320" s="4"/>
      <c r="X320" s="4"/>
      <c r="Y320" s="4"/>
      <c r="Z320" s="4"/>
    </row>
    <row r="321" spans="1:26" ht="15.75" customHeight="1" x14ac:dyDescent="0.2">
      <c r="A321" s="1" t="s">
        <v>638</v>
      </c>
      <c r="B321" s="1" t="s">
        <v>639</v>
      </c>
      <c r="C321" s="5" t="str">
        <f ca="1">IFERROR(__xludf.DUMMYFUNCTION("REGEXEXTRACT($B321, $E$2)"),"delval")</f>
        <v>delval</v>
      </c>
      <c r="E321" s="4"/>
      <c r="F321" s="4"/>
      <c r="G321" s="4"/>
      <c r="H321" s="4"/>
      <c r="I321" s="4"/>
      <c r="J321" s="4"/>
      <c r="K321" s="4"/>
      <c r="L321" s="4"/>
      <c r="M321" s="4"/>
      <c r="N321" s="4"/>
      <c r="O321" s="4"/>
      <c r="P321" s="4"/>
      <c r="Q321" s="4"/>
      <c r="R321" s="4"/>
      <c r="S321" s="4"/>
      <c r="T321" s="4"/>
      <c r="U321" s="4"/>
      <c r="V321" s="4"/>
      <c r="W321" s="4"/>
      <c r="X321" s="4"/>
      <c r="Y321" s="4"/>
      <c r="Z321" s="4"/>
    </row>
    <row r="322" spans="1:26" ht="15.75" customHeight="1" x14ac:dyDescent="0.2">
      <c r="A322" s="1" t="s">
        <v>640</v>
      </c>
      <c r="B322" s="1" t="s">
        <v>641</v>
      </c>
      <c r="C322" s="5" t="str">
        <f ca="1">IFERROR(__xludf.DUMMYFUNCTION("REGEXEXTRACT($B322, $E$2)"),"deltastate")</f>
        <v>deltastate</v>
      </c>
      <c r="E322" s="4"/>
      <c r="F322" s="4"/>
      <c r="G322" s="4"/>
      <c r="H322" s="4"/>
      <c r="I322" s="4"/>
      <c r="J322" s="4"/>
      <c r="K322" s="4"/>
      <c r="L322" s="4"/>
      <c r="M322" s="4"/>
      <c r="N322" s="4"/>
      <c r="O322" s="4"/>
      <c r="P322" s="4"/>
      <c r="Q322" s="4"/>
      <c r="R322" s="4"/>
      <c r="S322" s="4"/>
      <c r="T322" s="4"/>
      <c r="U322" s="4"/>
      <c r="V322" s="4"/>
      <c r="W322" s="4"/>
      <c r="X322" s="4"/>
      <c r="Y322" s="4"/>
      <c r="Z322" s="4"/>
    </row>
    <row r="323" spans="1:26" ht="15.75" customHeight="1" x14ac:dyDescent="0.2">
      <c r="A323" s="1" t="s">
        <v>642</v>
      </c>
      <c r="B323" s="1" t="s">
        <v>643</v>
      </c>
      <c r="C323" s="5" t="str">
        <f ca="1">IFERROR(__xludf.DUMMYFUNCTION("REGEXEXTRACT($B323, $E$2)"),"denison")</f>
        <v>denison</v>
      </c>
      <c r="E323" s="4"/>
      <c r="F323" s="4"/>
      <c r="G323" s="4"/>
      <c r="H323" s="4"/>
      <c r="I323" s="4"/>
      <c r="J323" s="4"/>
      <c r="K323" s="4"/>
      <c r="L323" s="4"/>
      <c r="M323" s="4"/>
      <c r="N323" s="4"/>
      <c r="O323" s="4"/>
      <c r="P323" s="4"/>
      <c r="Q323" s="4"/>
      <c r="R323" s="4"/>
      <c r="S323" s="4"/>
      <c r="T323" s="4"/>
      <c r="U323" s="4"/>
      <c r="V323" s="4"/>
      <c r="W323" s="4"/>
      <c r="X323" s="4"/>
      <c r="Y323" s="4"/>
      <c r="Z323" s="4"/>
    </row>
    <row r="324" spans="1:26" ht="15.75" customHeight="1" x14ac:dyDescent="0.2">
      <c r="A324" s="1" t="s">
        <v>644</v>
      </c>
      <c r="B324" s="1" t="s">
        <v>645</v>
      </c>
      <c r="C324" s="5" t="str">
        <f ca="1">IFERROR(__xludf.DUMMYFUNCTION("REGEXEXTRACT($B324, $E$2)"),"depaul")</f>
        <v>depaul</v>
      </c>
      <c r="E324" s="4"/>
      <c r="F324" s="4"/>
      <c r="G324" s="4"/>
      <c r="H324" s="4"/>
      <c r="I324" s="4"/>
      <c r="J324" s="4"/>
      <c r="K324" s="4"/>
      <c r="L324" s="4"/>
      <c r="M324" s="4"/>
      <c r="N324" s="4"/>
      <c r="O324" s="4"/>
      <c r="P324" s="4"/>
      <c r="Q324" s="4"/>
      <c r="R324" s="4"/>
      <c r="S324" s="4"/>
      <c r="T324" s="4"/>
      <c r="U324" s="4"/>
      <c r="V324" s="4"/>
      <c r="W324" s="4"/>
      <c r="X324" s="4"/>
      <c r="Y324" s="4"/>
      <c r="Z324" s="4"/>
    </row>
    <row r="325" spans="1:26" ht="15.75" customHeight="1" x14ac:dyDescent="0.2">
      <c r="A325" s="1" t="s">
        <v>646</v>
      </c>
      <c r="B325" s="1" t="s">
        <v>647</v>
      </c>
      <c r="C325" s="5" t="str">
        <f ca="1">IFERROR(__xludf.DUMMYFUNCTION("REGEXEXTRACT($B325, $E$2)"),"depauw")</f>
        <v>depauw</v>
      </c>
      <c r="E325" s="4"/>
      <c r="F325" s="4"/>
      <c r="G325" s="4"/>
      <c r="H325" s="4"/>
      <c r="I325" s="4"/>
      <c r="J325" s="4"/>
      <c r="K325" s="4"/>
      <c r="L325" s="4"/>
      <c r="M325" s="4"/>
      <c r="N325" s="4"/>
      <c r="O325" s="4"/>
      <c r="P325" s="4"/>
      <c r="Q325" s="4"/>
      <c r="R325" s="4"/>
      <c r="S325" s="4"/>
      <c r="T325" s="4"/>
      <c r="U325" s="4"/>
      <c r="V325" s="4"/>
      <c r="W325" s="4"/>
      <c r="X325" s="4"/>
      <c r="Y325" s="4"/>
      <c r="Z325" s="4"/>
    </row>
    <row r="326" spans="1:26" ht="15.75" customHeight="1" x14ac:dyDescent="0.2">
      <c r="A326" s="1" t="s">
        <v>648</v>
      </c>
      <c r="B326" s="1" t="s">
        <v>649</v>
      </c>
      <c r="C326" s="5" t="str">
        <f ca="1">IFERROR(__xludf.DUMMYFUNCTION("REGEXEXTRACT($B326, $E$2)"),"desales")</f>
        <v>desales</v>
      </c>
      <c r="E326" s="4"/>
      <c r="F326" s="4"/>
      <c r="G326" s="4"/>
      <c r="H326" s="4"/>
      <c r="I326" s="4"/>
      <c r="J326" s="4"/>
      <c r="K326" s="4"/>
      <c r="L326" s="4"/>
      <c r="M326" s="4"/>
      <c r="N326" s="4"/>
      <c r="O326" s="4"/>
      <c r="P326" s="4"/>
      <c r="Q326" s="4"/>
      <c r="R326" s="4"/>
      <c r="S326" s="4"/>
      <c r="T326" s="4"/>
      <c r="U326" s="4"/>
      <c r="V326" s="4"/>
      <c r="W326" s="4"/>
      <c r="X326" s="4"/>
      <c r="Y326" s="4"/>
      <c r="Z326" s="4"/>
    </row>
    <row r="327" spans="1:26" ht="15.75" customHeight="1" x14ac:dyDescent="0.2">
      <c r="A327" s="1" t="s">
        <v>650</v>
      </c>
      <c r="B327" s="1" t="s">
        <v>651</v>
      </c>
      <c r="C327" s="5" t="str">
        <f ca="1">IFERROR(__xludf.DUMMYFUNCTION("REGEXEXTRACT($B327, $E$2)"),"dickinson")</f>
        <v>dickinson</v>
      </c>
      <c r="E327" s="4"/>
      <c r="F327" s="4"/>
      <c r="G327" s="4"/>
      <c r="H327" s="4"/>
      <c r="I327" s="4"/>
      <c r="J327" s="4"/>
      <c r="K327" s="4"/>
      <c r="L327" s="4"/>
      <c r="M327" s="4"/>
      <c r="N327" s="4"/>
      <c r="O327" s="4"/>
      <c r="P327" s="4"/>
      <c r="Q327" s="4"/>
      <c r="R327" s="4"/>
      <c r="S327" s="4"/>
      <c r="T327" s="4"/>
      <c r="U327" s="4"/>
      <c r="V327" s="4"/>
      <c r="W327" s="4"/>
      <c r="X327" s="4"/>
      <c r="Y327" s="4"/>
      <c r="Z327" s="4"/>
    </row>
    <row r="328" spans="1:26" ht="15.75" customHeight="1" x14ac:dyDescent="0.2">
      <c r="A328" s="1" t="s">
        <v>652</v>
      </c>
      <c r="B328" s="1" t="s">
        <v>653</v>
      </c>
      <c r="C328" s="5" t="str">
        <f ca="1">IFERROR(__xludf.DUMMYFUNCTION("REGEXEXTRACT($B328, $E$2)"),"dickinsonstate")</f>
        <v>dickinsonstate</v>
      </c>
      <c r="E328" s="4"/>
      <c r="F328" s="4"/>
      <c r="G328" s="4"/>
      <c r="H328" s="4"/>
      <c r="I328" s="4"/>
      <c r="J328" s="4"/>
      <c r="K328" s="4"/>
      <c r="L328" s="4"/>
      <c r="M328" s="4"/>
      <c r="N328" s="4"/>
      <c r="O328" s="4"/>
      <c r="P328" s="4"/>
      <c r="Q328" s="4"/>
      <c r="R328" s="4"/>
      <c r="S328" s="4"/>
      <c r="T328" s="4"/>
      <c r="U328" s="4"/>
      <c r="V328" s="4"/>
      <c r="W328" s="4"/>
      <c r="X328" s="4"/>
      <c r="Y328" s="4"/>
      <c r="Z328" s="4"/>
    </row>
    <row r="329" spans="1:26" ht="15.75" customHeight="1" x14ac:dyDescent="0.2">
      <c r="A329" s="1" t="s">
        <v>654</v>
      </c>
      <c r="B329" s="1" t="s">
        <v>655</v>
      </c>
      <c r="C329" s="5" t="str">
        <f ca="1">IFERROR(__xludf.DUMMYFUNCTION("REGEXEXTRACT($B329, $E$2)"),"digipen")</f>
        <v>digipen</v>
      </c>
      <c r="E329" s="4"/>
      <c r="F329" s="4"/>
      <c r="G329" s="4"/>
      <c r="H329" s="4"/>
      <c r="I329" s="4"/>
      <c r="J329" s="4"/>
      <c r="K329" s="4"/>
      <c r="L329" s="4"/>
      <c r="M329" s="4"/>
      <c r="N329" s="4"/>
      <c r="O329" s="4"/>
      <c r="P329" s="4"/>
      <c r="Q329" s="4"/>
      <c r="R329" s="4"/>
      <c r="S329" s="4"/>
      <c r="T329" s="4"/>
      <c r="U329" s="4"/>
      <c r="V329" s="4"/>
      <c r="W329" s="4"/>
      <c r="X329" s="4"/>
      <c r="Y329" s="4"/>
      <c r="Z329" s="4"/>
    </row>
    <row r="330" spans="1:26" ht="15.75" customHeight="1" x14ac:dyDescent="0.2">
      <c r="A330" s="1" t="s">
        <v>656</v>
      </c>
      <c r="B330" s="1" t="s">
        <v>657</v>
      </c>
      <c r="C330" s="5" t="str">
        <f ca="1">IFERROR(__xludf.DUMMYFUNCTION("REGEXEXTRACT($B330, $E$2)"),"dillard")</f>
        <v>dillard</v>
      </c>
      <c r="E330" s="4"/>
      <c r="F330" s="4"/>
      <c r="G330" s="4"/>
      <c r="H330" s="4"/>
      <c r="I330" s="4"/>
      <c r="J330" s="4"/>
      <c r="K330" s="4"/>
      <c r="L330" s="4"/>
      <c r="M330" s="4"/>
      <c r="N330" s="4"/>
      <c r="O330" s="4"/>
      <c r="P330" s="4"/>
      <c r="Q330" s="4"/>
      <c r="R330" s="4"/>
      <c r="S330" s="4"/>
      <c r="T330" s="4"/>
      <c r="U330" s="4"/>
      <c r="V330" s="4"/>
      <c r="W330" s="4"/>
      <c r="X330" s="4"/>
      <c r="Y330" s="4"/>
      <c r="Z330" s="4"/>
    </row>
    <row r="331" spans="1:26" ht="15.75" customHeight="1" x14ac:dyDescent="0.2">
      <c r="A331" s="1" t="s">
        <v>658</v>
      </c>
      <c r="B331" s="1" t="s">
        <v>659</v>
      </c>
      <c r="C331" s="5" t="str">
        <f ca="1">IFERROR(__xludf.DUMMYFUNCTION("REGEXEXTRACT($B331, $E$2)"),"dixie")</f>
        <v>dixie</v>
      </c>
      <c r="E331" s="4"/>
      <c r="F331" s="4"/>
      <c r="G331" s="4"/>
      <c r="H331" s="4"/>
      <c r="I331" s="4"/>
      <c r="J331" s="4"/>
      <c r="K331" s="4"/>
      <c r="L331" s="4"/>
      <c r="M331" s="4"/>
      <c r="N331" s="4"/>
      <c r="O331" s="4"/>
      <c r="P331" s="4"/>
      <c r="Q331" s="4"/>
      <c r="R331" s="4"/>
      <c r="S331" s="4"/>
      <c r="T331" s="4"/>
      <c r="U331" s="4"/>
      <c r="V331" s="4"/>
      <c r="W331" s="4"/>
      <c r="X331" s="4"/>
      <c r="Y331" s="4"/>
      <c r="Z331" s="4"/>
    </row>
    <row r="332" spans="1:26" ht="15.75" customHeight="1" x14ac:dyDescent="0.2">
      <c r="A332" s="1" t="s">
        <v>660</v>
      </c>
      <c r="B332" s="1" t="s">
        <v>661</v>
      </c>
      <c r="C332" s="5" t="str">
        <f ca="1">IFERROR(__xludf.DUMMYFUNCTION("REGEXEXTRACT($B332, $E$2)"),"doane")</f>
        <v>doane</v>
      </c>
      <c r="E332" s="4"/>
      <c r="F332" s="4"/>
      <c r="G332" s="4"/>
      <c r="H332" s="4"/>
      <c r="I332" s="4"/>
      <c r="J332" s="4"/>
      <c r="K332" s="4"/>
      <c r="L332" s="4"/>
      <c r="M332" s="4"/>
      <c r="N332" s="4"/>
      <c r="O332" s="4"/>
      <c r="P332" s="4"/>
      <c r="Q332" s="4"/>
      <c r="R332" s="4"/>
      <c r="S332" s="4"/>
      <c r="T332" s="4"/>
      <c r="U332" s="4"/>
      <c r="V332" s="4"/>
      <c r="W332" s="4"/>
      <c r="X332" s="4"/>
      <c r="Y332" s="4"/>
      <c r="Z332" s="4"/>
    </row>
    <row r="333" spans="1:26" ht="15.75" customHeight="1" x14ac:dyDescent="0.2">
      <c r="A333" s="1" t="s">
        <v>662</v>
      </c>
      <c r="B333" s="1" t="s">
        <v>663</v>
      </c>
      <c r="C333" s="5" t="str">
        <f ca="1">IFERROR(__xludf.DUMMYFUNCTION("REGEXEXTRACT($B333, $E$2)"),"dc")</f>
        <v>dc</v>
      </c>
      <c r="E333" s="4"/>
      <c r="F333" s="4"/>
      <c r="G333" s="4"/>
      <c r="H333" s="4"/>
      <c r="I333" s="4"/>
      <c r="J333" s="4"/>
      <c r="K333" s="4"/>
      <c r="L333" s="4"/>
      <c r="M333" s="4"/>
      <c r="N333" s="4"/>
      <c r="O333" s="4"/>
      <c r="P333" s="4"/>
      <c r="Q333" s="4"/>
      <c r="R333" s="4"/>
      <c r="S333" s="4"/>
      <c r="T333" s="4"/>
      <c r="U333" s="4"/>
      <c r="V333" s="4"/>
      <c r="W333" s="4"/>
      <c r="X333" s="4"/>
      <c r="Y333" s="4"/>
      <c r="Z333" s="4"/>
    </row>
    <row r="334" spans="1:26" ht="15.75" customHeight="1" x14ac:dyDescent="0.2">
      <c r="A334" s="1" t="s">
        <v>664</v>
      </c>
      <c r="B334" s="1" t="s">
        <v>665</v>
      </c>
      <c r="C334" s="5" t="str">
        <f ca="1">IFERROR(__xludf.DUMMYFUNCTION("REGEXEXTRACT($B334, $E$2)"),"dom")</f>
        <v>dom</v>
      </c>
      <c r="E334" s="4"/>
      <c r="F334" s="4"/>
      <c r="G334" s="4"/>
      <c r="H334" s="4"/>
      <c r="I334" s="4"/>
      <c r="J334" s="4"/>
      <c r="K334" s="4"/>
      <c r="L334" s="4"/>
      <c r="M334" s="4"/>
      <c r="N334" s="4"/>
      <c r="O334" s="4"/>
      <c r="P334" s="4"/>
      <c r="Q334" s="4"/>
      <c r="R334" s="4"/>
      <c r="S334" s="4"/>
      <c r="T334" s="4"/>
      <c r="U334" s="4"/>
      <c r="V334" s="4"/>
      <c r="W334" s="4"/>
      <c r="X334" s="4"/>
      <c r="Y334" s="4"/>
      <c r="Z334" s="4"/>
    </row>
    <row r="335" spans="1:26" ht="15.75" customHeight="1" x14ac:dyDescent="0.2">
      <c r="A335" s="1" t="s">
        <v>666</v>
      </c>
      <c r="B335" s="1" t="s">
        <v>667</v>
      </c>
      <c r="C335" s="5" t="str">
        <f ca="1">IFERROR(__xludf.DUMMYFUNCTION("REGEXEXTRACT($B335, $E$2)"),"dominican")</f>
        <v>dominican</v>
      </c>
      <c r="E335" s="4"/>
      <c r="F335" s="4"/>
      <c r="G335" s="4"/>
      <c r="H335" s="4"/>
      <c r="I335" s="4"/>
      <c r="J335" s="4"/>
      <c r="K335" s="4"/>
      <c r="L335" s="4"/>
      <c r="M335" s="4"/>
      <c r="N335" s="4"/>
      <c r="O335" s="4"/>
      <c r="P335" s="4"/>
      <c r="Q335" s="4"/>
      <c r="R335" s="4"/>
      <c r="S335" s="4"/>
      <c r="T335" s="4"/>
      <c r="U335" s="4"/>
      <c r="V335" s="4"/>
      <c r="W335" s="4"/>
      <c r="X335" s="4"/>
      <c r="Y335" s="4"/>
      <c r="Z335" s="4"/>
    </row>
    <row r="336" spans="1:26" ht="15.75" customHeight="1" x14ac:dyDescent="0.2">
      <c r="A336" s="1" t="s">
        <v>668</v>
      </c>
      <c r="B336" s="1" t="s">
        <v>669</v>
      </c>
      <c r="C336" s="5" t="str">
        <f ca="1">IFERROR(__xludf.DUMMYFUNCTION("REGEXEXTRACT($B336, $E$2)"),"dordt")</f>
        <v>dordt</v>
      </c>
      <c r="E336" s="4"/>
      <c r="F336" s="4"/>
      <c r="G336" s="4"/>
      <c r="H336" s="4"/>
      <c r="I336" s="4"/>
      <c r="J336" s="4"/>
      <c r="K336" s="4"/>
      <c r="L336" s="4"/>
      <c r="M336" s="4"/>
      <c r="N336" s="4"/>
      <c r="O336" s="4"/>
      <c r="P336" s="4"/>
      <c r="Q336" s="4"/>
      <c r="R336" s="4"/>
      <c r="S336" s="4"/>
      <c r="T336" s="4"/>
      <c r="U336" s="4"/>
      <c r="V336" s="4"/>
      <c r="W336" s="4"/>
      <c r="X336" s="4"/>
      <c r="Y336" s="4"/>
      <c r="Z336" s="4"/>
    </row>
    <row r="337" spans="1:26" ht="15.75" customHeight="1" x14ac:dyDescent="0.2">
      <c r="A337" s="1" t="s">
        <v>670</v>
      </c>
      <c r="B337" s="1" t="s">
        <v>671</v>
      </c>
      <c r="C337" s="5" t="str">
        <f ca="1">IFERROR(__xludf.DUMMYFUNCTION("REGEXEXTRACT($B337, $E$2)"),"drake")</f>
        <v>drake</v>
      </c>
      <c r="E337" s="4"/>
      <c r="F337" s="4"/>
      <c r="G337" s="4"/>
      <c r="H337" s="4"/>
      <c r="I337" s="4"/>
      <c r="J337" s="4"/>
      <c r="K337" s="4"/>
      <c r="L337" s="4"/>
      <c r="M337" s="4"/>
      <c r="N337" s="4"/>
      <c r="O337" s="4"/>
      <c r="P337" s="4"/>
      <c r="Q337" s="4"/>
      <c r="R337" s="4"/>
      <c r="S337" s="4"/>
      <c r="T337" s="4"/>
      <c r="U337" s="4"/>
      <c r="V337" s="4"/>
      <c r="W337" s="4"/>
      <c r="X337" s="4"/>
      <c r="Y337" s="4"/>
      <c r="Z337" s="4"/>
    </row>
    <row r="338" spans="1:26" ht="15.75" customHeight="1" x14ac:dyDescent="0.2">
      <c r="A338" s="1" t="s">
        <v>672</v>
      </c>
      <c r="B338" s="1" t="s">
        <v>673</v>
      </c>
      <c r="C338" s="5" t="str">
        <f ca="1">IFERROR(__xludf.DUMMYFUNCTION("REGEXEXTRACT($B338, $E$2)"),"drew")</f>
        <v>drew</v>
      </c>
      <c r="E338" s="4"/>
      <c r="F338" s="4"/>
      <c r="G338" s="4"/>
      <c r="H338" s="4"/>
      <c r="I338" s="4"/>
      <c r="J338" s="4"/>
      <c r="K338" s="4"/>
      <c r="L338" s="4"/>
      <c r="M338" s="4"/>
      <c r="N338" s="4"/>
      <c r="O338" s="4"/>
      <c r="P338" s="4"/>
      <c r="Q338" s="4"/>
      <c r="R338" s="4"/>
      <c r="S338" s="4"/>
      <c r="T338" s="4"/>
      <c r="U338" s="4"/>
      <c r="V338" s="4"/>
      <c r="W338" s="4"/>
      <c r="X338" s="4"/>
      <c r="Y338" s="4"/>
      <c r="Z338" s="4"/>
    </row>
    <row r="339" spans="1:26" ht="15.75" customHeight="1" x14ac:dyDescent="0.2">
      <c r="A339" s="1" t="s">
        <v>674</v>
      </c>
      <c r="B339" s="1" t="s">
        <v>675</v>
      </c>
      <c r="C339" s="5" t="str">
        <f ca="1">IFERROR(__xludf.DUMMYFUNCTION("REGEXEXTRACT($B339, $E$2)"),"drexel")</f>
        <v>drexel</v>
      </c>
      <c r="E339" s="4"/>
      <c r="F339" s="4"/>
      <c r="G339" s="4"/>
      <c r="H339" s="4"/>
      <c r="I339" s="4"/>
      <c r="J339" s="4"/>
      <c r="K339" s="4"/>
      <c r="L339" s="4"/>
      <c r="M339" s="4"/>
      <c r="N339" s="4"/>
      <c r="O339" s="4"/>
      <c r="P339" s="4"/>
      <c r="Q339" s="4"/>
      <c r="R339" s="4"/>
      <c r="S339" s="4"/>
      <c r="T339" s="4"/>
      <c r="U339" s="4"/>
      <c r="V339" s="4"/>
      <c r="W339" s="4"/>
      <c r="X339" s="4"/>
      <c r="Y339" s="4"/>
      <c r="Z339" s="4"/>
    </row>
    <row r="340" spans="1:26" ht="15.75" customHeight="1" x14ac:dyDescent="0.2">
      <c r="A340" s="1" t="s">
        <v>676</v>
      </c>
      <c r="B340" s="1" t="s">
        <v>677</v>
      </c>
      <c r="C340" s="5" t="str">
        <f ca="1">IFERROR(__xludf.DUMMYFUNCTION("REGEXEXTRACT($B340, $E$2)"),"drury")</f>
        <v>drury</v>
      </c>
      <c r="E340" s="4"/>
      <c r="F340" s="4"/>
      <c r="G340" s="4"/>
      <c r="H340" s="4"/>
      <c r="I340" s="4"/>
      <c r="J340" s="4"/>
      <c r="K340" s="4"/>
      <c r="L340" s="4"/>
      <c r="M340" s="4"/>
      <c r="N340" s="4"/>
      <c r="O340" s="4"/>
      <c r="P340" s="4"/>
      <c r="Q340" s="4"/>
      <c r="R340" s="4"/>
      <c r="S340" s="4"/>
      <c r="T340" s="4"/>
      <c r="U340" s="4"/>
      <c r="V340" s="4"/>
      <c r="W340" s="4"/>
      <c r="X340" s="4"/>
      <c r="Y340" s="4"/>
      <c r="Z340" s="4"/>
    </row>
    <row r="341" spans="1:26" ht="15.75" customHeight="1" x14ac:dyDescent="0.2">
      <c r="A341" s="1" t="s">
        <v>678</v>
      </c>
      <c r="B341" s="1" t="s">
        <v>679</v>
      </c>
      <c r="C341" s="5" t="str">
        <f ca="1">IFERROR(__xludf.DUMMYFUNCTION("REGEXEXTRACT($B341, $E$2)"),"duke")</f>
        <v>duke</v>
      </c>
      <c r="E341" s="4"/>
      <c r="F341" s="4"/>
      <c r="G341" s="4"/>
      <c r="H341" s="4"/>
      <c r="I341" s="4"/>
      <c r="J341" s="4"/>
      <c r="K341" s="4"/>
      <c r="L341" s="4"/>
      <c r="M341" s="4"/>
      <c r="N341" s="4"/>
      <c r="O341" s="4"/>
      <c r="P341" s="4"/>
      <c r="Q341" s="4"/>
      <c r="R341" s="4"/>
      <c r="S341" s="4"/>
      <c r="T341" s="4"/>
      <c r="U341" s="4"/>
      <c r="V341" s="4"/>
      <c r="W341" s="4"/>
      <c r="X341" s="4"/>
      <c r="Y341" s="4"/>
      <c r="Z341" s="4"/>
    </row>
    <row r="342" spans="1:26" ht="15.75" customHeight="1" x14ac:dyDescent="0.2">
      <c r="A342" s="1" t="s">
        <v>680</v>
      </c>
      <c r="B342" s="1" t="s">
        <v>681</v>
      </c>
      <c r="C342" s="5" t="str">
        <f ca="1">IFERROR(__xludf.DUMMYFUNCTION("REGEXEXTRACT($B342, $E$2)"),"duq")</f>
        <v>duq</v>
      </c>
      <c r="E342" s="4"/>
      <c r="F342" s="4"/>
      <c r="G342" s="4"/>
      <c r="H342" s="4"/>
      <c r="I342" s="4"/>
      <c r="J342" s="4"/>
      <c r="K342" s="4"/>
      <c r="L342" s="4"/>
      <c r="M342" s="4"/>
      <c r="N342" s="4"/>
      <c r="O342" s="4"/>
      <c r="P342" s="4"/>
      <c r="Q342" s="4"/>
      <c r="R342" s="4"/>
      <c r="S342" s="4"/>
      <c r="T342" s="4"/>
      <c r="U342" s="4"/>
      <c r="V342" s="4"/>
      <c r="W342" s="4"/>
      <c r="X342" s="4"/>
      <c r="Y342" s="4"/>
      <c r="Z342" s="4"/>
    </row>
    <row r="343" spans="1:26" ht="15.75" customHeight="1" x14ac:dyDescent="0.2">
      <c r="A343" s="1" t="s">
        <v>682</v>
      </c>
      <c r="B343" s="1" t="s">
        <v>683</v>
      </c>
      <c r="C343" s="5" t="str">
        <f ca="1">IFERROR(__xludf.DUMMYFUNCTION("REGEXEXTRACT($B343, $E$2)"),"dyc")</f>
        <v>dyc</v>
      </c>
      <c r="E343" s="4"/>
      <c r="F343" s="4"/>
      <c r="G343" s="4"/>
      <c r="H343" s="4"/>
      <c r="I343" s="4"/>
      <c r="J343" s="4"/>
      <c r="K343" s="4"/>
      <c r="L343" s="4"/>
      <c r="M343" s="4"/>
      <c r="N343" s="4"/>
      <c r="O343" s="4"/>
      <c r="P343" s="4"/>
      <c r="Q343" s="4"/>
      <c r="R343" s="4"/>
      <c r="S343" s="4"/>
      <c r="T343" s="4"/>
      <c r="U343" s="4"/>
      <c r="V343" s="4"/>
      <c r="W343" s="4"/>
      <c r="X343" s="4"/>
      <c r="Y343" s="4"/>
      <c r="Z343" s="4"/>
    </row>
    <row r="344" spans="1:26" ht="15.75" customHeight="1" x14ac:dyDescent="0.2">
      <c r="A344" s="1" t="s">
        <v>684</v>
      </c>
      <c r="B344" s="1" t="s">
        <v>685</v>
      </c>
      <c r="C344" s="5" t="str">
        <f ca="1">IFERROR(__xludf.DUMMYFUNCTION("REGEXEXTRACT($B344, $E$2)"),"earlham")</f>
        <v>earlham</v>
      </c>
      <c r="E344" s="4"/>
      <c r="F344" s="4"/>
      <c r="G344" s="4"/>
      <c r="H344" s="4"/>
      <c r="I344" s="4"/>
      <c r="J344" s="4"/>
      <c r="K344" s="4"/>
      <c r="L344" s="4"/>
      <c r="M344" s="4"/>
      <c r="N344" s="4"/>
      <c r="O344" s="4"/>
      <c r="P344" s="4"/>
      <c r="Q344" s="4"/>
      <c r="R344" s="4"/>
      <c r="S344" s="4"/>
      <c r="T344" s="4"/>
      <c r="U344" s="4"/>
      <c r="V344" s="4"/>
      <c r="W344" s="4"/>
      <c r="X344" s="4"/>
      <c r="Y344" s="4"/>
      <c r="Z344" s="4"/>
    </row>
    <row r="345" spans="1:26" ht="15.75" customHeight="1" x14ac:dyDescent="0.2">
      <c r="A345" s="1" t="s">
        <v>686</v>
      </c>
      <c r="B345" s="1" t="s">
        <v>687</v>
      </c>
      <c r="C345" s="5" t="str">
        <f ca="1">IFERROR(__xludf.DUMMYFUNCTION("REGEXEXTRACT($B345, $E$2)"),"ecu")</f>
        <v>ecu</v>
      </c>
      <c r="E345" s="4"/>
      <c r="F345" s="4"/>
      <c r="G345" s="4"/>
      <c r="H345" s="4"/>
      <c r="I345" s="4"/>
      <c r="J345" s="4"/>
      <c r="K345" s="4"/>
      <c r="L345" s="4"/>
      <c r="M345" s="4"/>
      <c r="N345" s="4"/>
      <c r="O345" s="4"/>
      <c r="P345" s="4"/>
      <c r="Q345" s="4"/>
      <c r="R345" s="4"/>
      <c r="S345" s="4"/>
      <c r="T345" s="4"/>
      <c r="U345" s="4"/>
      <c r="V345" s="4"/>
      <c r="W345" s="4"/>
      <c r="X345" s="4"/>
      <c r="Y345" s="4"/>
      <c r="Z345" s="4"/>
    </row>
    <row r="346" spans="1:26" ht="15.75" customHeight="1" x14ac:dyDescent="0.2">
      <c r="A346" s="1" t="s">
        <v>688</v>
      </c>
      <c r="B346" s="1" t="s">
        <v>689</v>
      </c>
      <c r="C346" s="5" t="str">
        <f ca="1">IFERROR(__xludf.DUMMYFUNCTION("REGEXEXTRACT($B346, $E$2)"),"ecok")</f>
        <v>ecok</v>
      </c>
      <c r="E346" s="4"/>
      <c r="F346" s="4"/>
      <c r="G346" s="4"/>
      <c r="H346" s="4"/>
      <c r="I346" s="4"/>
      <c r="J346" s="4"/>
      <c r="K346" s="4"/>
      <c r="L346" s="4"/>
      <c r="M346" s="4"/>
      <c r="N346" s="4"/>
      <c r="O346" s="4"/>
      <c r="P346" s="4"/>
      <c r="Q346" s="4"/>
      <c r="R346" s="4"/>
      <c r="S346" s="4"/>
      <c r="T346" s="4"/>
      <c r="U346" s="4"/>
      <c r="V346" s="4"/>
      <c r="W346" s="4"/>
      <c r="X346" s="4"/>
      <c r="Y346" s="4"/>
      <c r="Z346" s="4"/>
    </row>
    <row r="347" spans="1:26" ht="15.75" customHeight="1" x14ac:dyDescent="0.2">
      <c r="A347" s="1" t="s">
        <v>690</v>
      </c>
      <c r="B347" s="1" t="s">
        <v>691</v>
      </c>
      <c r="C347" s="5" t="str">
        <f ca="1">IFERROR(__xludf.DUMMYFUNCTION("REGEXEXTRACT($B347, $E$2)"),"esu")</f>
        <v>esu</v>
      </c>
      <c r="E347" s="4"/>
      <c r="F347" s="4"/>
      <c r="G347" s="4"/>
      <c r="H347" s="4"/>
      <c r="I347" s="4"/>
      <c r="J347" s="4"/>
      <c r="K347" s="4"/>
      <c r="L347" s="4"/>
      <c r="M347" s="4"/>
      <c r="N347" s="4"/>
      <c r="O347" s="4"/>
      <c r="P347" s="4"/>
      <c r="Q347" s="4"/>
      <c r="R347" s="4"/>
      <c r="S347" s="4"/>
      <c r="T347" s="4"/>
      <c r="U347" s="4"/>
      <c r="V347" s="4"/>
      <c r="W347" s="4"/>
      <c r="X347" s="4"/>
      <c r="Y347" s="4"/>
      <c r="Z347" s="4"/>
    </row>
    <row r="348" spans="1:26" ht="15.75" customHeight="1" x14ac:dyDescent="0.2">
      <c r="A348" s="1" t="s">
        <v>692</v>
      </c>
      <c r="B348" s="1" t="s">
        <v>693</v>
      </c>
      <c r="C348" s="5" t="str">
        <f ca="1">IFERROR(__xludf.DUMMYFUNCTION("REGEXEXTRACT($B348, $E$2)"),"etsu")</f>
        <v>etsu</v>
      </c>
      <c r="E348" s="4"/>
      <c r="F348" s="4"/>
      <c r="G348" s="4"/>
      <c r="H348" s="4"/>
      <c r="I348" s="4"/>
      <c r="J348" s="4"/>
      <c r="K348" s="4"/>
      <c r="L348" s="4"/>
      <c r="M348" s="4"/>
      <c r="N348" s="4"/>
      <c r="O348" s="4"/>
      <c r="P348" s="4"/>
      <c r="Q348" s="4"/>
      <c r="R348" s="4"/>
      <c r="S348" s="4"/>
      <c r="T348" s="4"/>
      <c r="U348" s="4"/>
      <c r="V348" s="4"/>
      <c r="W348" s="4"/>
      <c r="X348" s="4"/>
      <c r="Y348" s="4"/>
      <c r="Z348" s="4"/>
    </row>
    <row r="349" spans="1:26" ht="15.75" customHeight="1" x14ac:dyDescent="0.2">
      <c r="A349" s="1" t="s">
        <v>694</v>
      </c>
      <c r="B349" s="1" t="s">
        <v>695</v>
      </c>
      <c r="C349" s="5" t="str">
        <f ca="1">IFERROR(__xludf.DUMMYFUNCTION("REGEXEXTRACT($B349, $E$2)"),"etbu")</f>
        <v>etbu</v>
      </c>
      <c r="E349" s="4"/>
      <c r="F349" s="4"/>
      <c r="G349" s="4"/>
      <c r="H349" s="4"/>
      <c r="I349" s="4"/>
      <c r="J349" s="4"/>
      <c r="K349" s="4"/>
      <c r="L349" s="4"/>
      <c r="M349" s="4"/>
      <c r="N349" s="4"/>
      <c r="O349" s="4"/>
      <c r="P349" s="4"/>
      <c r="Q349" s="4"/>
      <c r="R349" s="4"/>
      <c r="S349" s="4"/>
      <c r="T349" s="4"/>
      <c r="U349" s="4"/>
      <c r="V349" s="4"/>
      <c r="W349" s="4"/>
      <c r="X349" s="4"/>
      <c r="Y349" s="4"/>
      <c r="Z349" s="4"/>
    </row>
    <row r="350" spans="1:26" ht="15.75" customHeight="1" x14ac:dyDescent="0.2">
      <c r="A350" s="1" t="s">
        <v>696</v>
      </c>
      <c r="B350" s="1" t="s">
        <v>697</v>
      </c>
      <c r="C350" s="5" t="str">
        <f ca="1">IFERROR(__xludf.DUMMYFUNCTION("REGEXEXTRACT($B350, $E$2)"),"eastwest")</f>
        <v>eastwest</v>
      </c>
      <c r="E350" s="4"/>
      <c r="F350" s="4"/>
      <c r="G350" s="4"/>
      <c r="H350" s="4"/>
      <c r="I350" s="4"/>
      <c r="J350" s="4"/>
      <c r="K350" s="4"/>
      <c r="L350" s="4"/>
      <c r="M350" s="4"/>
      <c r="N350" s="4"/>
      <c r="O350" s="4"/>
      <c r="P350" s="4"/>
      <c r="Q350" s="4"/>
      <c r="R350" s="4"/>
      <c r="S350" s="4"/>
      <c r="T350" s="4"/>
      <c r="U350" s="4"/>
      <c r="V350" s="4"/>
      <c r="W350" s="4"/>
      <c r="X350" s="4"/>
      <c r="Y350" s="4"/>
      <c r="Z350" s="4"/>
    </row>
    <row r="351" spans="1:26" ht="15.75" customHeight="1" x14ac:dyDescent="0.2">
      <c r="A351" s="1" t="s">
        <v>698</v>
      </c>
      <c r="B351" s="1" t="s">
        <v>699</v>
      </c>
      <c r="C351" s="5" t="str">
        <f ca="1">IFERROR(__xludf.DUMMYFUNCTION("REGEXEXTRACT($B351, $E$2)"),"easternct")</f>
        <v>easternct</v>
      </c>
      <c r="E351" s="4"/>
      <c r="F351" s="4"/>
      <c r="G351" s="4"/>
      <c r="H351" s="4"/>
      <c r="I351" s="4"/>
      <c r="J351" s="4"/>
      <c r="K351" s="4"/>
      <c r="L351" s="4"/>
      <c r="M351" s="4"/>
      <c r="N351" s="4"/>
      <c r="O351" s="4"/>
      <c r="P351" s="4"/>
      <c r="Q351" s="4"/>
      <c r="R351" s="4"/>
      <c r="S351" s="4"/>
      <c r="T351" s="4"/>
      <c r="U351" s="4"/>
      <c r="V351" s="4"/>
      <c r="W351" s="4"/>
      <c r="X351" s="4"/>
      <c r="Y351" s="4"/>
      <c r="Z351" s="4"/>
    </row>
    <row r="352" spans="1:26" ht="15.75" customHeight="1" x14ac:dyDescent="0.2">
      <c r="A352" s="1" t="s">
        <v>700</v>
      </c>
      <c r="B352" s="1" t="s">
        <v>701</v>
      </c>
      <c r="C352" s="5" t="str">
        <f ca="1">IFERROR(__xludf.DUMMYFUNCTION("REGEXEXTRACT($B352, $E$2)"),"eiu")</f>
        <v>eiu</v>
      </c>
      <c r="E352" s="4"/>
      <c r="F352" s="4"/>
      <c r="G352" s="4"/>
      <c r="H352" s="4"/>
      <c r="I352" s="4"/>
      <c r="J352" s="4"/>
      <c r="K352" s="4"/>
      <c r="L352" s="4"/>
      <c r="M352" s="4"/>
      <c r="N352" s="4"/>
      <c r="O352" s="4"/>
      <c r="P352" s="4"/>
      <c r="Q352" s="4"/>
      <c r="R352" s="4"/>
      <c r="S352" s="4"/>
      <c r="T352" s="4"/>
      <c r="U352" s="4"/>
      <c r="V352" s="4"/>
      <c r="W352" s="4"/>
      <c r="X352" s="4"/>
      <c r="Y352" s="4"/>
      <c r="Z352" s="4"/>
    </row>
    <row r="353" spans="1:26" ht="15.75" customHeight="1" x14ac:dyDescent="0.2">
      <c r="A353" s="1" t="s">
        <v>702</v>
      </c>
      <c r="B353" s="1" t="s">
        <v>703</v>
      </c>
      <c r="C353" s="5" t="str">
        <f ca="1">IFERROR(__xludf.DUMMYFUNCTION("REGEXEXTRACT($B353, $E$2)"),"eku")</f>
        <v>eku</v>
      </c>
      <c r="E353" s="4"/>
      <c r="F353" s="4"/>
      <c r="G353" s="4"/>
      <c r="H353" s="4"/>
      <c r="I353" s="4"/>
      <c r="J353" s="4"/>
      <c r="K353" s="4"/>
      <c r="L353" s="4"/>
      <c r="M353" s="4"/>
      <c r="N353" s="4"/>
      <c r="O353" s="4"/>
      <c r="P353" s="4"/>
      <c r="Q353" s="4"/>
      <c r="R353" s="4"/>
      <c r="S353" s="4"/>
      <c r="T353" s="4"/>
      <c r="U353" s="4"/>
      <c r="V353" s="4"/>
      <c r="W353" s="4"/>
      <c r="X353" s="4"/>
      <c r="Y353" s="4"/>
      <c r="Z353" s="4"/>
    </row>
    <row r="354" spans="1:26" ht="15.75" customHeight="1" x14ac:dyDescent="0.2">
      <c r="A354" s="1" t="s">
        <v>704</v>
      </c>
      <c r="B354" s="1" t="s">
        <v>705</v>
      </c>
      <c r="C354" s="5" t="str">
        <f ca="1">IFERROR(__xludf.DUMMYFUNCTION("REGEXEXTRACT($B354, $E$2)"),"emu")</f>
        <v>emu</v>
      </c>
      <c r="E354" s="4"/>
      <c r="F354" s="4"/>
      <c r="G354" s="4"/>
      <c r="H354" s="4"/>
      <c r="I354" s="4"/>
      <c r="J354" s="4"/>
      <c r="K354" s="4"/>
      <c r="L354" s="4"/>
      <c r="M354" s="4"/>
      <c r="N354" s="4"/>
      <c r="O354" s="4"/>
      <c r="P354" s="4"/>
      <c r="Q354" s="4"/>
      <c r="R354" s="4"/>
      <c r="S354" s="4"/>
      <c r="T354" s="4"/>
      <c r="U354" s="4"/>
      <c r="V354" s="4"/>
      <c r="W354" s="4"/>
      <c r="X354" s="4"/>
      <c r="Y354" s="4"/>
      <c r="Z354" s="4"/>
    </row>
    <row r="355" spans="1:26" ht="15.75" customHeight="1" x14ac:dyDescent="0.2">
      <c r="A355" s="1" t="s">
        <v>706</v>
      </c>
      <c r="B355" s="1" t="s">
        <v>707</v>
      </c>
      <c r="C355" s="5" t="str">
        <f ca="1">IFERROR(__xludf.DUMMYFUNCTION("REGEXEXTRACT($B355, $E$2)"),"emich")</f>
        <v>emich</v>
      </c>
      <c r="E355" s="4"/>
      <c r="F355" s="4"/>
      <c r="G355" s="4"/>
      <c r="H355" s="4"/>
      <c r="I355" s="4"/>
      <c r="J355" s="4"/>
      <c r="K355" s="4"/>
      <c r="L355" s="4"/>
      <c r="M355" s="4"/>
      <c r="N355" s="4"/>
      <c r="O355" s="4"/>
      <c r="P355" s="4"/>
      <c r="Q355" s="4"/>
      <c r="R355" s="4"/>
      <c r="S355" s="4"/>
      <c r="T355" s="4"/>
      <c r="U355" s="4"/>
      <c r="V355" s="4"/>
      <c r="W355" s="4"/>
      <c r="X355" s="4"/>
      <c r="Y355" s="4"/>
      <c r="Z355" s="4"/>
    </row>
    <row r="356" spans="1:26" ht="15.75" customHeight="1" x14ac:dyDescent="0.2">
      <c r="A356" s="1" t="s">
        <v>708</v>
      </c>
      <c r="B356" s="1" t="s">
        <v>709</v>
      </c>
      <c r="C356" s="5" t="str">
        <f ca="1">IFERROR(__xludf.DUMMYFUNCTION("REGEXEXTRACT($B356, $E$2)"),"enc")</f>
        <v>enc</v>
      </c>
      <c r="E356" s="4"/>
      <c r="F356" s="4"/>
      <c r="G356" s="4"/>
      <c r="H356" s="4"/>
      <c r="I356" s="4"/>
      <c r="J356" s="4"/>
      <c r="K356" s="4"/>
      <c r="L356" s="4"/>
      <c r="M356" s="4"/>
      <c r="N356" s="4"/>
      <c r="O356" s="4"/>
      <c r="P356" s="4"/>
      <c r="Q356" s="4"/>
      <c r="R356" s="4"/>
      <c r="S356" s="4"/>
      <c r="T356" s="4"/>
      <c r="U356" s="4"/>
      <c r="V356" s="4"/>
      <c r="W356" s="4"/>
      <c r="X356" s="4"/>
      <c r="Y356" s="4"/>
      <c r="Z356" s="4"/>
    </row>
    <row r="357" spans="1:26" ht="15.75" customHeight="1" x14ac:dyDescent="0.2">
      <c r="A357" s="1" t="s">
        <v>710</v>
      </c>
      <c r="B357" s="1" t="s">
        <v>711</v>
      </c>
      <c r="C357" s="5" t="str">
        <f ca="1">IFERROR(__xludf.DUMMYFUNCTION("REGEXEXTRACT($B357, $E$2)"),"enmu")</f>
        <v>enmu</v>
      </c>
      <c r="E357" s="4"/>
      <c r="F357" s="4"/>
      <c r="G357" s="4"/>
      <c r="H357" s="4"/>
      <c r="I357" s="4"/>
      <c r="J357" s="4"/>
      <c r="K357" s="4"/>
      <c r="L357" s="4"/>
      <c r="M357" s="4"/>
      <c r="N357" s="4"/>
      <c r="O357" s="4"/>
      <c r="P357" s="4"/>
      <c r="Q357" s="4"/>
      <c r="R357" s="4"/>
      <c r="S357" s="4"/>
      <c r="T357" s="4"/>
      <c r="U357" s="4"/>
      <c r="V357" s="4"/>
      <c r="W357" s="4"/>
      <c r="X357" s="4"/>
      <c r="Y357" s="4"/>
      <c r="Z357" s="4"/>
    </row>
    <row r="358" spans="1:26" ht="15.75" customHeight="1" x14ac:dyDescent="0.2">
      <c r="A358" s="1" t="s">
        <v>712</v>
      </c>
      <c r="B358" s="1" t="s">
        <v>713</v>
      </c>
      <c r="C358" s="5" t="str">
        <f ca="1">IFERROR(__xludf.DUMMYFUNCTION("REGEXEXTRACT($B358, $E$2)"),"eou")</f>
        <v>eou</v>
      </c>
      <c r="E358" s="4"/>
      <c r="F358" s="4"/>
      <c r="G358" s="4"/>
      <c r="H358" s="4"/>
      <c r="I358" s="4"/>
      <c r="J358" s="4"/>
      <c r="K358" s="4"/>
      <c r="L358" s="4"/>
      <c r="M358" s="4"/>
      <c r="N358" s="4"/>
      <c r="O358" s="4"/>
      <c r="P358" s="4"/>
      <c r="Q358" s="4"/>
      <c r="R358" s="4"/>
      <c r="S358" s="4"/>
      <c r="T358" s="4"/>
      <c r="U358" s="4"/>
      <c r="V358" s="4"/>
      <c r="W358" s="4"/>
      <c r="X358" s="4"/>
      <c r="Y358" s="4"/>
      <c r="Z358" s="4"/>
    </row>
    <row r="359" spans="1:26" ht="15.75" customHeight="1" x14ac:dyDescent="0.2">
      <c r="A359" s="1" t="s">
        <v>714</v>
      </c>
      <c r="B359" s="1" t="s">
        <v>715</v>
      </c>
      <c r="C359" s="5" t="str">
        <f ca="1">IFERROR(__xludf.DUMMYFUNCTION("REGEXEXTRACT($B359, $E$2)"),"eastern")</f>
        <v>eastern</v>
      </c>
      <c r="E359" s="4"/>
      <c r="F359" s="4"/>
      <c r="G359" s="4"/>
      <c r="H359" s="4"/>
      <c r="I359" s="4"/>
      <c r="J359" s="4"/>
      <c r="K359" s="4"/>
      <c r="L359" s="4"/>
      <c r="M359" s="4"/>
      <c r="N359" s="4"/>
      <c r="O359" s="4"/>
      <c r="P359" s="4"/>
      <c r="Q359" s="4"/>
      <c r="R359" s="4"/>
      <c r="S359" s="4"/>
      <c r="T359" s="4"/>
      <c r="U359" s="4"/>
      <c r="V359" s="4"/>
      <c r="W359" s="4"/>
      <c r="X359" s="4"/>
      <c r="Y359" s="4"/>
      <c r="Z359" s="4"/>
    </row>
    <row r="360" spans="1:26" ht="15.75" customHeight="1" x14ac:dyDescent="0.2">
      <c r="A360" s="1" t="s">
        <v>716</v>
      </c>
      <c r="B360" s="1" t="s">
        <v>717</v>
      </c>
      <c r="C360" s="5" t="str">
        <f ca="1">IFERROR(__xludf.DUMMYFUNCTION("REGEXEXTRACT($B360, $E$2)"),"ewu")</f>
        <v>ewu</v>
      </c>
      <c r="E360" s="4"/>
      <c r="F360" s="4"/>
      <c r="G360" s="4"/>
      <c r="H360" s="4"/>
      <c r="I360" s="4"/>
      <c r="J360" s="4"/>
      <c r="K360" s="4"/>
      <c r="L360" s="4"/>
      <c r="M360" s="4"/>
      <c r="N360" s="4"/>
      <c r="O360" s="4"/>
      <c r="P360" s="4"/>
      <c r="Q360" s="4"/>
      <c r="R360" s="4"/>
      <c r="S360" s="4"/>
      <c r="T360" s="4"/>
      <c r="U360" s="4"/>
      <c r="V360" s="4"/>
      <c r="W360" s="4"/>
      <c r="X360" s="4"/>
      <c r="Y360" s="4"/>
      <c r="Z360" s="4"/>
    </row>
    <row r="361" spans="1:26" ht="15.75" customHeight="1" x14ac:dyDescent="0.2">
      <c r="A361" s="1" t="s">
        <v>718</v>
      </c>
      <c r="B361" s="1" t="s">
        <v>719</v>
      </c>
      <c r="C361" s="5" t="str">
        <f ca="1">IFERROR(__xludf.DUMMYFUNCTION("REGEXEXTRACT($B361, $E$2)"),"eckerd")</f>
        <v>eckerd</v>
      </c>
      <c r="E361" s="4"/>
      <c r="F361" s="4"/>
      <c r="G361" s="4"/>
      <c r="H361" s="4"/>
      <c r="I361" s="4"/>
      <c r="J361" s="4"/>
      <c r="K361" s="4"/>
      <c r="L361" s="4"/>
      <c r="M361" s="4"/>
      <c r="N361" s="4"/>
      <c r="O361" s="4"/>
      <c r="P361" s="4"/>
      <c r="Q361" s="4"/>
      <c r="R361" s="4"/>
      <c r="S361" s="4"/>
      <c r="T361" s="4"/>
      <c r="U361" s="4"/>
      <c r="V361" s="4"/>
      <c r="W361" s="4"/>
      <c r="X361" s="4"/>
      <c r="Y361" s="4"/>
      <c r="Z361" s="4"/>
    </row>
    <row r="362" spans="1:26" ht="15.75" customHeight="1" x14ac:dyDescent="0.2">
      <c r="A362" s="1" t="s">
        <v>720</v>
      </c>
      <c r="B362" s="1" t="s">
        <v>721</v>
      </c>
      <c r="C362" s="5" t="str">
        <f ca="1">IFERROR(__xludf.DUMMYFUNCTION("REGEXEXTRACT($B362, $E$2)"),"edgewood")</f>
        <v>edgewood</v>
      </c>
      <c r="E362" s="4"/>
      <c r="F362" s="4"/>
      <c r="G362" s="4"/>
      <c r="H362" s="4"/>
      <c r="I362" s="4"/>
      <c r="J362" s="4"/>
      <c r="K362" s="4"/>
      <c r="L362" s="4"/>
      <c r="M362" s="4"/>
      <c r="N362" s="4"/>
      <c r="O362" s="4"/>
      <c r="P362" s="4"/>
      <c r="Q362" s="4"/>
      <c r="R362" s="4"/>
      <c r="S362" s="4"/>
      <c r="T362" s="4"/>
      <c r="U362" s="4"/>
      <c r="V362" s="4"/>
      <c r="W362" s="4"/>
      <c r="X362" s="4"/>
      <c r="Y362" s="4"/>
      <c r="Z362" s="4"/>
    </row>
    <row r="363" spans="1:26" ht="15.75" customHeight="1" x14ac:dyDescent="0.2">
      <c r="A363" s="1" t="s">
        <v>722</v>
      </c>
      <c r="B363" s="1" t="s">
        <v>723</v>
      </c>
      <c r="C363" s="5" t="str">
        <f ca="1">IFERROR(__xludf.DUMMYFUNCTION("REGEXEXTRACT($B363, $E$2)"),"edinboro")</f>
        <v>edinboro</v>
      </c>
      <c r="E363" s="4"/>
      <c r="F363" s="4"/>
      <c r="G363" s="4"/>
      <c r="H363" s="4"/>
      <c r="I363" s="4"/>
      <c r="J363" s="4"/>
      <c r="K363" s="4"/>
      <c r="L363" s="4"/>
      <c r="M363" s="4"/>
      <c r="N363" s="4"/>
      <c r="O363" s="4"/>
      <c r="P363" s="4"/>
      <c r="Q363" s="4"/>
      <c r="R363" s="4"/>
      <c r="S363" s="4"/>
      <c r="T363" s="4"/>
      <c r="U363" s="4"/>
      <c r="V363" s="4"/>
      <c r="W363" s="4"/>
      <c r="X363" s="4"/>
      <c r="Y363" s="4"/>
      <c r="Z363" s="4"/>
    </row>
    <row r="364" spans="1:26" ht="15.75" customHeight="1" x14ac:dyDescent="0.2">
      <c r="A364" s="1" t="s">
        <v>724</v>
      </c>
      <c r="B364" s="1" t="s">
        <v>725</v>
      </c>
      <c r="C364" s="5" t="str">
        <f ca="1">IFERROR(__xludf.DUMMYFUNCTION("REGEXEXTRACT($B364, $E$2)"),"ewc")</f>
        <v>ewc</v>
      </c>
      <c r="E364" s="4"/>
      <c r="F364" s="4"/>
      <c r="G364" s="4"/>
      <c r="H364" s="4"/>
      <c r="I364" s="4"/>
      <c r="J364" s="4"/>
      <c r="K364" s="4"/>
      <c r="L364" s="4"/>
      <c r="M364" s="4"/>
      <c r="N364" s="4"/>
      <c r="O364" s="4"/>
      <c r="P364" s="4"/>
      <c r="Q364" s="4"/>
      <c r="R364" s="4"/>
      <c r="S364" s="4"/>
      <c r="T364" s="4"/>
      <c r="U364" s="4"/>
      <c r="V364" s="4"/>
      <c r="W364" s="4"/>
      <c r="X364" s="4"/>
      <c r="Y364" s="4"/>
      <c r="Z364" s="4"/>
    </row>
    <row r="365" spans="1:26" ht="15.75" customHeight="1" x14ac:dyDescent="0.2">
      <c r="A365" s="1" t="s">
        <v>726</v>
      </c>
      <c r="B365" s="1" t="s">
        <v>727</v>
      </c>
      <c r="C365" s="5" t="str">
        <f ca="1">IFERROR(__xludf.DUMMYFUNCTION("REGEXEXTRACT($B365, $E$2)"),"ecsu")</f>
        <v>ecsu</v>
      </c>
      <c r="E365" s="4"/>
      <c r="F365" s="4"/>
      <c r="G365" s="4"/>
      <c r="H365" s="4"/>
      <c r="I365" s="4"/>
      <c r="J365" s="4"/>
      <c r="K365" s="4"/>
      <c r="L365" s="4"/>
      <c r="M365" s="4"/>
      <c r="N365" s="4"/>
      <c r="O365" s="4"/>
      <c r="P365" s="4"/>
      <c r="Q365" s="4"/>
      <c r="R365" s="4"/>
      <c r="S365" s="4"/>
      <c r="T365" s="4"/>
      <c r="U365" s="4"/>
      <c r="V365" s="4"/>
      <c r="W365" s="4"/>
      <c r="X365" s="4"/>
      <c r="Y365" s="4"/>
      <c r="Z365" s="4"/>
    </row>
    <row r="366" spans="1:26" ht="15.75" customHeight="1" x14ac:dyDescent="0.2">
      <c r="A366" s="1" t="s">
        <v>728</v>
      </c>
      <c r="B366" s="1" t="s">
        <v>729</v>
      </c>
      <c r="C366" s="5" t="str">
        <f ca="1">IFERROR(__xludf.DUMMYFUNCTION("REGEXEXTRACT($B366, $E$2)"),"etown")</f>
        <v>etown</v>
      </c>
      <c r="E366" s="4"/>
      <c r="F366" s="4"/>
      <c r="G366" s="4"/>
      <c r="H366" s="4"/>
      <c r="I366" s="4"/>
      <c r="J366" s="4"/>
      <c r="K366" s="4"/>
      <c r="L366" s="4"/>
      <c r="M366" s="4"/>
      <c r="N366" s="4"/>
      <c r="O366" s="4"/>
      <c r="P366" s="4"/>
      <c r="Q366" s="4"/>
      <c r="R366" s="4"/>
      <c r="S366" s="4"/>
      <c r="T366" s="4"/>
      <c r="U366" s="4"/>
      <c r="V366" s="4"/>
      <c r="W366" s="4"/>
      <c r="X366" s="4"/>
      <c r="Y366" s="4"/>
      <c r="Z366" s="4"/>
    </row>
    <row r="367" spans="1:26" ht="15.75" customHeight="1" x14ac:dyDescent="0.2">
      <c r="A367" s="1" t="s">
        <v>730</v>
      </c>
      <c r="B367" s="1" t="s">
        <v>731</v>
      </c>
      <c r="C367" s="5" t="str">
        <f ca="1">IFERROR(__xludf.DUMMYFUNCTION("REGEXEXTRACT($B367, $E$2)"),"elmhurst")</f>
        <v>elmhurst</v>
      </c>
      <c r="E367" s="4"/>
      <c r="F367" s="4"/>
      <c r="G367" s="4"/>
      <c r="H367" s="4"/>
      <c r="I367" s="4"/>
      <c r="J367" s="4"/>
      <c r="K367" s="4"/>
      <c r="L367" s="4"/>
      <c r="M367" s="4"/>
      <c r="N367" s="4"/>
      <c r="O367" s="4"/>
      <c r="P367" s="4"/>
      <c r="Q367" s="4"/>
      <c r="R367" s="4"/>
      <c r="S367" s="4"/>
      <c r="T367" s="4"/>
      <c r="U367" s="4"/>
      <c r="V367" s="4"/>
      <c r="W367" s="4"/>
      <c r="X367" s="4"/>
      <c r="Y367" s="4"/>
      <c r="Z367" s="4"/>
    </row>
    <row r="368" spans="1:26" ht="15.75" customHeight="1" x14ac:dyDescent="0.2">
      <c r="A368" s="1" t="s">
        <v>732</v>
      </c>
      <c r="B368" s="1" t="s">
        <v>733</v>
      </c>
      <c r="C368" s="5" t="str">
        <f ca="1">IFERROR(__xludf.DUMMYFUNCTION("REGEXEXTRACT($B368, $E$2)"),"elmira")</f>
        <v>elmira</v>
      </c>
      <c r="E368" s="4"/>
      <c r="F368" s="4"/>
      <c r="G368" s="4"/>
      <c r="H368" s="4"/>
      <c r="I368" s="4"/>
      <c r="J368" s="4"/>
      <c r="K368" s="4"/>
      <c r="L368" s="4"/>
      <c r="M368" s="4"/>
      <c r="N368" s="4"/>
      <c r="O368" s="4"/>
      <c r="P368" s="4"/>
      <c r="Q368" s="4"/>
      <c r="R368" s="4"/>
      <c r="S368" s="4"/>
      <c r="T368" s="4"/>
      <c r="U368" s="4"/>
      <c r="V368" s="4"/>
      <c r="W368" s="4"/>
      <c r="X368" s="4"/>
      <c r="Y368" s="4"/>
      <c r="Z368" s="4"/>
    </row>
    <row r="369" spans="1:26" ht="15.75" customHeight="1" x14ac:dyDescent="0.2">
      <c r="A369" s="1" t="s">
        <v>734</v>
      </c>
      <c r="B369" s="1" t="s">
        <v>735</v>
      </c>
      <c r="C369" s="5" t="str">
        <f ca="1">IFERROR(__xludf.DUMMYFUNCTION("REGEXEXTRACT($B369, $E$2)"),"elms")</f>
        <v>elms</v>
      </c>
      <c r="E369" s="4"/>
      <c r="F369" s="4"/>
      <c r="G369" s="4"/>
      <c r="H369" s="4"/>
      <c r="I369" s="4"/>
      <c r="J369" s="4"/>
      <c r="K369" s="4"/>
      <c r="L369" s="4"/>
      <c r="M369" s="4"/>
      <c r="N369" s="4"/>
      <c r="O369" s="4"/>
      <c r="P369" s="4"/>
      <c r="Q369" s="4"/>
      <c r="R369" s="4"/>
      <c r="S369" s="4"/>
      <c r="T369" s="4"/>
      <c r="U369" s="4"/>
      <c r="V369" s="4"/>
      <c r="W369" s="4"/>
      <c r="X369" s="4"/>
      <c r="Y369" s="4"/>
      <c r="Z369" s="4"/>
    </row>
    <row r="370" spans="1:26" ht="15.75" customHeight="1" x14ac:dyDescent="0.2">
      <c r="A370" s="1" t="s">
        <v>736</v>
      </c>
      <c r="B370" s="1" t="s">
        <v>737</v>
      </c>
      <c r="C370" s="5" t="str">
        <f ca="1">IFERROR(__xludf.DUMMYFUNCTION("REGEXEXTRACT($B370, $E$2)"),"elon")</f>
        <v>elon</v>
      </c>
      <c r="E370" s="4"/>
      <c r="F370" s="4"/>
      <c r="G370" s="4"/>
      <c r="H370" s="4"/>
      <c r="I370" s="4"/>
      <c r="J370" s="4"/>
      <c r="K370" s="4"/>
      <c r="L370" s="4"/>
      <c r="M370" s="4"/>
      <c r="N370" s="4"/>
      <c r="O370" s="4"/>
      <c r="P370" s="4"/>
      <c r="Q370" s="4"/>
      <c r="R370" s="4"/>
      <c r="S370" s="4"/>
      <c r="T370" s="4"/>
      <c r="U370" s="4"/>
      <c r="V370" s="4"/>
      <c r="W370" s="4"/>
      <c r="X370" s="4"/>
      <c r="Y370" s="4"/>
      <c r="Z370" s="4"/>
    </row>
    <row r="371" spans="1:26" ht="15.75" customHeight="1" x14ac:dyDescent="0.2">
      <c r="A371" s="1" t="s">
        <v>738</v>
      </c>
      <c r="B371" s="1" t="s">
        <v>739</v>
      </c>
      <c r="C371" s="5" t="str">
        <f ca="1">IFERROR(__xludf.DUMMYFUNCTION("REGEXEXTRACT($B371, $E$2)"),"erau")</f>
        <v>erau</v>
      </c>
      <c r="E371" s="4"/>
      <c r="F371" s="4"/>
      <c r="G371" s="4"/>
      <c r="H371" s="4"/>
      <c r="I371" s="4"/>
      <c r="J371" s="4"/>
      <c r="K371" s="4"/>
      <c r="L371" s="4"/>
      <c r="M371" s="4"/>
      <c r="N371" s="4"/>
      <c r="O371" s="4"/>
      <c r="P371" s="4"/>
      <c r="Q371" s="4"/>
      <c r="R371" s="4"/>
      <c r="S371" s="4"/>
      <c r="T371" s="4"/>
      <c r="U371" s="4"/>
      <c r="V371" s="4"/>
      <c r="W371" s="4"/>
      <c r="X371" s="4"/>
      <c r="Y371" s="4"/>
      <c r="Z371" s="4"/>
    </row>
    <row r="372" spans="1:26" ht="15.75" customHeight="1" x14ac:dyDescent="0.2">
      <c r="A372" s="1" t="s">
        <v>740</v>
      </c>
      <c r="B372" s="1" t="s">
        <v>741</v>
      </c>
      <c r="C372" s="5" t="str">
        <f ca="1">IFERROR(__xludf.DUMMYFUNCTION("REGEXEXTRACT($B372, $E$2)"),"emerson")</f>
        <v>emerson</v>
      </c>
      <c r="E372" s="4"/>
      <c r="F372" s="4"/>
      <c r="G372" s="4"/>
      <c r="H372" s="4"/>
      <c r="I372" s="4"/>
      <c r="J372" s="4"/>
      <c r="K372" s="4"/>
      <c r="L372" s="4"/>
      <c r="M372" s="4"/>
      <c r="N372" s="4"/>
      <c r="O372" s="4"/>
      <c r="P372" s="4"/>
      <c r="Q372" s="4"/>
      <c r="R372" s="4"/>
      <c r="S372" s="4"/>
      <c r="T372" s="4"/>
      <c r="U372" s="4"/>
      <c r="V372" s="4"/>
      <c r="W372" s="4"/>
      <c r="X372" s="4"/>
      <c r="Y372" s="4"/>
      <c r="Z372" s="4"/>
    </row>
    <row r="373" spans="1:26" ht="15.75" customHeight="1" x14ac:dyDescent="0.2">
      <c r="A373" s="1" t="s">
        <v>742</v>
      </c>
      <c r="B373" s="1" t="s">
        <v>743</v>
      </c>
      <c r="C373" s="5" t="str">
        <f ca="1">IFERROR(__xludf.DUMMYFUNCTION("REGEXEXTRACT($B373, $E$2)"),"emmanuel")</f>
        <v>emmanuel</v>
      </c>
      <c r="E373" s="4"/>
      <c r="F373" s="4"/>
      <c r="G373" s="4"/>
      <c r="H373" s="4"/>
      <c r="I373" s="4"/>
      <c r="J373" s="4"/>
      <c r="K373" s="4"/>
      <c r="L373" s="4"/>
      <c r="M373" s="4"/>
      <c r="N373" s="4"/>
      <c r="O373" s="4"/>
      <c r="P373" s="4"/>
      <c r="Q373" s="4"/>
      <c r="R373" s="4"/>
      <c r="S373" s="4"/>
      <c r="T373" s="4"/>
      <c r="U373" s="4"/>
      <c r="V373" s="4"/>
      <c r="W373" s="4"/>
      <c r="X373" s="4"/>
      <c r="Y373" s="4"/>
      <c r="Z373" s="4"/>
    </row>
    <row r="374" spans="1:26" ht="15.75" customHeight="1" x14ac:dyDescent="0.2">
      <c r="A374" s="1" t="s">
        <v>744</v>
      </c>
      <c r="B374" s="1" t="s">
        <v>745</v>
      </c>
      <c r="C374" s="5" t="str">
        <f ca="1">IFERROR(__xludf.DUMMYFUNCTION("REGEXEXTRACT($B374, $E$2)"),"ec")</f>
        <v>ec</v>
      </c>
      <c r="E374" s="4"/>
      <c r="F374" s="4"/>
      <c r="G374" s="4"/>
      <c r="H374" s="4"/>
      <c r="I374" s="4"/>
      <c r="J374" s="4"/>
      <c r="K374" s="4"/>
      <c r="L374" s="4"/>
      <c r="M374" s="4"/>
      <c r="N374" s="4"/>
      <c r="O374" s="4"/>
      <c r="P374" s="4"/>
      <c r="Q374" s="4"/>
      <c r="R374" s="4"/>
      <c r="S374" s="4"/>
      <c r="T374" s="4"/>
      <c r="U374" s="4"/>
      <c r="V374" s="4"/>
      <c r="W374" s="4"/>
      <c r="X374" s="4"/>
      <c r="Y374" s="4"/>
      <c r="Z374" s="4"/>
    </row>
    <row r="375" spans="1:26" ht="15.75" customHeight="1" x14ac:dyDescent="0.2">
      <c r="A375" s="1" t="s">
        <v>746</v>
      </c>
      <c r="B375" s="1" t="s">
        <v>747</v>
      </c>
      <c r="C375" s="5" t="str">
        <f ca="1">IFERROR(__xludf.DUMMYFUNCTION("REGEXEXTRACT($B375, $E$2)"),"emmaus")</f>
        <v>emmaus</v>
      </c>
      <c r="E375" s="4"/>
      <c r="F375" s="4"/>
      <c r="G375" s="4"/>
      <c r="H375" s="4"/>
      <c r="I375" s="4"/>
      <c r="J375" s="4"/>
      <c r="K375" s="4"/>
      <c r="L375" s="4"/>
      <c r="M375" s="4"/>
      <c r="N375" s="4"/>
      <c r="O375" s="4"/>
      <c r="P375" s="4"/>
      <c r="Q375" s="4"/>
      <c r="R375" s="4"/>
      <c r="S375" s="4"/>
      <c r="T375" s="4"/>
      <c r="U375" s="4"/>
      <c r="V375" s="4"/>
      <c r="W375" s="4"/>
      <c r="X375" s="4"/>
      <c r="Y375" s="4"/>
      <c r="Z375" s="4"/>
    </row>
    <row r="376" spans="1:26" ht="15.75" customHeight="1" x14ac:dyDescent="0.2">
      <c r="A376" s="1" t="s">
        <v>748</v>
      </c>
      <c r="B376" s="1" t="s">
        <v>749</v>
      </c>
      <c r="C376" s="5" t="str">
        <f ca="1">IFERROR(__xludf.DUMMYFUNCTION("REGEXEXTRACT($B376, $E$2)"),"ehc")</f>
        <v>ehc</v>
      </c>
      <c r="E376" s="4"/>
      <c r="F376" s="4"/>
      <c r="G376" s="4"/>
      <c r="H376" s="4"/>
      <c r="I376" s="4"/>
      <c r="J376" s="4"/>
      <c r="K376" s="4"/>
      <c r="L376" s="4"/>
      <c r="M376" s="4"/>
      <c r="N376" s="4"/>
      <c r="O376" s="4"/>
      <c r="P376" s="4"/>
      <c r="Q376" s="4"/>
      <c r="R376" s="4"/>
      <c r="S376" s="4"/>
      <c r="T376" s="4"/>
      <c r="U376" s="4"/>
      <c r="V376" s="4"/>
      <c r="W376" s="4"/>
      <c r="X376" s="4"/>
      <c r="Y376" s="4"/>
      <c r="Z376" s="4"/>
    </row>
    <row r="377" spans="1:26" ht="15.75" customHeight="1" x14ac:dyDescent="0.2">
      <c r="A377" s="1" t="s">
        <v>750</v>
      </c>
      <c r="B377" s="1" t="s">
        <v>751</v>
      </c>
      <c r="C377" s="5" t="str">
        <f ca="1">IFERROR(__xludf.DUMMYFUNCTION("REGEXEXTRACT($B377, $E$2)"),"emory")</f>
        <v>emory</v>
      </c>
      <c r="E377" s="4"/>
      <c r="F377" s="4"/>
      <c r="G377" s="4"/>
      <c r="H377" s="4"/>
      <c r="I377" s="4"/>
      <c r="J377" s="4"/>
      <c r="K377" s="4"/>
      <c r="L377" s="4"/>
      <c r="M377" s="4"/>
      <c r="N377" s="4"/>
      <c r="O377" s="4"/>
      <c r="P377" s="4"/>
      <c r="Q377" s="4"/>
      <c r="R377" s="4"/>
      <c r="S377" s="4"/>
      <c r="T377" s="4"/>
      <c r="U377" s="4"/>
      <c r="V377" s="4"/>
      <c r="W377" s="4"/>
      <c r="X377" s="4"/>
      <c r="Y377" s="4"/>
      <c r="Z377" s="4"/>
    </row>
    <row r="378" spans="1:26" ht="15.75" customHeight="1" x14ac:dyDescent="0.2">
      <c r="A378" s="1" t="s">
        <v>752</v>
      </c>
      <c r="B378" s="1" t="s">
        <v>753</v>
      </c>
      <c r="C378" s="5" t="str">
        <f ca="1">IFERROR(__xludf.DUMMYFUNCTION("REGEXEXTRACT($B378, $E$2)"),"emporia")</f>
        <v>emporia</v>
      </c>
      <c r="E378" s="4"/>
      <c r="F378" s="4"/>
      <c r="G378" s="4"/>
      <c r="H378" s="4"/>
      <c r="I378" s="4"/>
      <c r="J378" s="4"/>
      <c r="K378" s="4"/>
      <c r="L378" s="4"/>
      <c r="M378" s="4"/>
      <c r="N378" s="4"/>
      <c r="O378" s="4"/>
      <c r="P378" s="4"/>
      <c r="Q378" s="4"/>
      <c r="R378" s="4"/>
      <c r="S378" s="4"/>
      <c r="T378" s="4"/>
      <c r="U378" s="4"/>
      <c r="V378" s="4"/>
      <c r="W378" s="4"/>
      <c r="X378" s="4"/>
      <c r="Y378" s="4"/>
      <c r="Z378" s="4"/>
    </row>
    <row r="379" spans="1:26" ht="15.75" customHeight="1" x14ac:dyDescent="0.2">
      <c r="A379" s="1" t="s">
        <v>754</v>
      </c>
      <c r="B379" s="1" t="s">
        <v>755</v>
      </c>
      <c r="C379" s="5" t="str">
        <f ca="1">IFERROR(__xludf.DUMMYFUNCTION("REGEXEXTRACT($B379, $E$2)"),"endicott")</f>
        <v>endicott</v>
      </c>
      <c r="E379" s="4"/>
      <c r="F379" s="4"/>
      <c r="G379" s="4"/>
      <c r="H379" s="4"/>
      <c r="I379" s="4"/>
      <c r="J379" s="4"/>
      <c r="K379" s="4"/>
      <c r="L379" s="4"/>
      <c r="M379" s="4"/>
      <c r="N379" s="4"/>
      <c r="O379" s="4"/>
      <c r="P379" s="4"/>
      <c r="Q379" s="4"/>
      <c r="R379" s="4"/>
      <c r="S379" s="4"/>
      <c r="T379" s="4"/>
      <c r="U379" s="4"/>
      <c r="V379" s="4"/>
      <c r="W379" s="4"/>
      <c r="X379" s="4"/>
      <c r="Y379" s="4"/>
      <c r="Z379" s="4"/>
    </row>
    <row r="380" spans="1:26" ht="15.75" customHeight="1" x14ac:dyDescent="0.2">
      <c r="A380" s="1" t="s">
        <v>756</v>
      </c>
      <c r="B380" s="1" t="s">
        <v>757</v>
      </c>
      <c r="C380" s="5" t="str">
        <f ca="1">IFERROR(__xludf.DUMMYFUNCTION("REGEXEXTRACT($B380, $E$2)"),"erskine")</f>
        <v>erskine</v>
      </c>
      <c r="E380" s="4"/>
      <c r="F380" s="4"/>
      <c r="G380" s="4"/>
      <c r="H380" s="4"/>
      <c r="I380" s="4"/>
      <c r="J380" s="4"/>
      <c r="K380" s="4"/>
      <c r="L380" s="4"/>
      <c r="M380" s="4"/>
      <c r="N380" s="4"/>
      <c r="O380" s="4"/>
      <c r="P380" s="4"/>
      <c r="Q380" s="4"/>
      <c r="R380" s="4"/>
      <c r="S380" s="4"/>
      <c r="T380" s="4"/>
      <c r="U380" s="4"/>
      <c r="V380" s="4"/>
      <c r="W380" s="4"/>
      <c r="X380" s="4"/>
      <c r="Y380" s="4"/>
      <c r="Z380" s="4"/>
    </row>
    <row r="381" spans="1:26" ht="15.75" customHeight="1" x14ac:dyDescent="0.2">
      <c r="A381" s="1" t="s">
        <v>758</v>
      </c>
      <c r="B381" s="1" t="s">
        <v>759</v>
      </c>
      <c r="C381" s="5" t="str">
        <f ca="1">IFERROR(__xludf.DUMMYFUNCTION("REGEXEXTRACT($B381, $E$2)"),"newschool")</f>
        <v>newschool</v>
      </c>
      <c r="E381" s="4"/>
      <c r="F381" s="4"/>
      <c r="G381" s="4"/>
      <c r="H381" s="4"/>
      <c r="I381" s="4"/>
      <c r="J381" s="4"/>
      <c r="K381" s="4"/>
      <c r="L381" s="4"/>
      <c r="M381" s="4"/>
      <c r="N381" s="4"/>
      <c r="O381" s="4"/>
      <c r="P381" s="4"/>
      <c r="Q381" s="4"/>
      <c r="R381" s="4"/>
      <c r="S381" s="4"/>
      <c r="T381" s="4"/>
      <c r="U381" s="4"/>
      <c r="V381" s="4"/>
      <c r="W381" s="4"/>
      <c r="X381" s="4"/>
      <c r="Y381" s="4"/>
      <c r="Z381" s="4"/>
    </row>
    <row r="382" spans="1:26" ht="15.75" customHeight="1" x14ac:dyDescent="0.2">
      <c r="A382" s="1" t="s">
        <v>760</v>
      </c>
      <c r="B382" s="1" t="s">
        <v>761</v>
      </c>
      <c r="C382" s="5" t="str">
        <f ca="1">IFERROR(__xludf.DUMMYFUNCTION("REGEXEXTRACT($B382, $E$2)"),"eureka")</f>
        <v>eureka</v>
      </c>
      <c r="E382" s="4"/>
      <c r="F382" s="4"/>
      <c r="G382" s="4"/>
      <c r="H382" s="4"/>
      <c r="I382" s="4"/>
      <c r="J382" s="4"/>
      <c r="K382" s="4"/>
      <c r="L382" s="4"/>
      <c r="M382" s="4"/>
      <c r="N382" s="4"/>
      <c r="O382" s="4"/>
      <c r="P382" s="4"/>
      <c r="Q382" s="4"/>
      <c r="R382" s="4"/>
      <c r="S382" s="4"/>
      <c r="T382" s="4"/>
      <c r="U382" s="4"/>
      <c r="V382" s="4"/>
      <c r="W382" s="4"/>
      <c r="X382" s="4"/>
      <c r="Y382" s="4"/>
      <c r="Z382" s="4"/>
    </row>
    <row r="383" spans="1:26" ht="15.75" customHeight="1" x14ac:dyDescent="0.2">
      <c r="A383" s="1" t="s">
        <v>762</v>
      </c>
      <c r="B383" s="1" t="s">
        <v>763</v>
      </c>
      <c r="C383" s="5" t="str">
        <f ca="1">IFERROR(__xludf.DUMMYFUNCTION("REGEXEXTRACT($B383, $E$2)"),"evangel")</f>
        <v>evangel</v>
      </c>
      <c r="E383" s="4"/>
      <c r="F383" s="4"/>
      <c r="G383" s="4"/>
      <c r="H383" s="4"/>
      <c r="I383" s="4"/>
      <c r="J383" s="4"/>
      <c r="K383" s="4"/>
      <c r="L383" s="4"/>
      <c r="M383" s="4"/>
      <c r="N383" s="4"/>
      <c r="O383" s="4"/>
      <c r="P383" s="4"/>
      <c r="Q383" s="4"/>
      <c r="R383" s="4"/>
      <c r="S383" s="4"/>
      <c r="T383" s="4"/>
      <c r="U383" s="4"/>
      <c r="V383" s="4"/>
      <c r="W383" s="4"/>
      <c r="X383" s="4"/>
      <c r="Y383" s="4"/>
      <c r="Z383" s="4"/>
    </row>
    <row r="384" spans="1:26" ht="15.75" customHeight="1" x14ac:dyDescent="0.2">
      <c r="A384" s="1" t="s">
        <v>764</v>
      </c>
      <c r="B384" s="1" t="s">
        <v>765</v>
      </c>
      <c r="C384" s="5" t="str">
        <f ca="1">IFERROR(__xludf.DUMMYFUNCTION("REGEXEXTRACT($B384, $E$2)"),"evergreen")</f>
        <v>evergreen</v>
      </c>
      <c r="E384" s="4"/>
      <c r="F384" s="4"/>
      <c r="G384" s="4"/>
      <c r="H384" s="4"/>
      <c r="I384" s="4"/>
      <c r="J384" s="4"/>
      <c r="K384" s="4"/>
      <c r="L384" s="4"/>
      <c r="M384" s="4"/>
      <c r="N384" s="4"/>
      <c r="O384" s="4"/>
      <c r="P384" s="4"/>
      <c r="Q384" s="4"/>
      <c r="R384" s="4"/>
      <c r="S384" s="4"/>
      <c r="T384" s="4"/>
      <c r="U384" s="4"/>
      <c r="V384" s="4"/>
      <c r="W384" s="4"/>
      <c r="X384" s="4"/>
      <c r="Y384" s="4"/>
      <c r="Z384" s="4"/>
    </row>
    <row r="385" spans="1:26" ht="15.75" customHeight="1" x14ac:dyDescent="0.2">
      <c r="A385" s="1" t="s">
        <v>766</v>
      </c>
      <c r="B385" s="1" t="s">
        <v>767</v>
      </c>
      <c r="C385" s="5" t="str">
        <f ca="1">IFERROR(__xludf.DUMMYFUNCTION("REGEXEXTRACT($B385, $E$2)"),"fairfield")</f>
        <v>fairfield</v>
      </c>
      <c r="E385" s="4"/>
      <c r="F385" s="4"/>
      <c r="G385" s="4"/>
      <c r="H385" s="4"/>
      <c r="I385" s="4"/>
      <c r="J385" s="4"/>
      <c r="K385" s="4"/>
      <c r="L385" s="4"/>
      <c r="M385" s="4"/>
      <c r="N385" s="4"/>
      <c r="O385" s="4"/>
      <c r="P385" s="4"/>
      <c r="Q385" s="4"/>
      <c r="R385" s="4"/>
      <c r="S385" s="4"/>
      <c r="T385" s="4"/>
      <c r="U385" s="4"/>
      <c r="V385" s="4"/>
      <c r="W385" s="4"/>
      <c r="X385" s="4"/>
      <c r="Y385" s="4"/>
      <c r="Z385" s="4"/>
    </row>
    <row r="386" spans="1:26" ht="15.75" customHeight="1" x14ac:dyDescent="0.2">
      <c r="A386" s="1" t="s">
        <v>768</v>
      </c>
      <c r="B386" s="1" t="s">
        <v>769</v>
      </c>
      <c r="C386" s="5" t="str">
        <f ca="1">IFERROR(__xludf.DUMMYFUNCTION("REGEXEXTRACT($B386, $E$2)"),"fdu")</f>
        <v>fdu</v>
      </c>
      <c r="E386" s="4"/>
      <c r="F386" s="4"/>
      <c r="G386" s="4"/>
      <c r="H386" s="4"/>
      <c r="I386" s="4"/>
      <c r="J386" s="4"/>
      <c r="K386" s="4"/>
      <c r="L386" s="4"/>
      <c r="M386" s="4"/>
      <c r="N386" s="4"/>
      <c r="O386" s="4"/>
      <c r="P386" s="4"/>
      <c r="Q386" s="4"/>
      <c r="R386" s="4"/>
      <c r="S386" s="4"/>
      <c r="T386" s="4"/>
      <c r="U386" s="4"/>
      <c r="V386" s="4"/>
      <c r="W386" s="4"/>
      <c r="X386" s="4"/>
      <c r="Y386" s="4"/>
      <c r="Z386" s="4"/>
    </row>
    <row r="387" spans="1:26" ht="15.75" customHeight="1" x14ac:dyDescent="0.2">
      <c r="A387" s="1" t="s">
        <v>770</v>
      </c>
      <c r="B387" s="1" t="s">
        <v>771</v>
      </c>
      <c r="C387" s="5" t="str">
        <f ca="1">IFERROR(__xludf.DUMMYFUNCTION("REGEXEXTRACT($B387, $E$2)"),"fairmontstate")</f>
        <v>fairmontstate</v>
      </c>
      <c r="E387" s="4"/>
      <c r="F387" s="4"/>
      <c r="G387" s="4"/>
      <c r="H387" s="4"/>
      <c r="I387" s="4"/>
      <c r="J387" s="4"/>
      <c r="K387" s="4"/>
      <c r="L387" s="4"/>
      <c r="M387" s="4"/>
      <c r="N387" s="4"/>
      <c r="O387" s="4"/>
      <c r="P387" s="4"/>
      <c r="Q387" s="4"/>
      <c r="R387" s="4"/>
      <c r="S387" s="4"/>
      <c r="T387" s="4"/>
      <c r="U387" s="4"/>
      <c r="V387" s="4"/>
      <c r="W387" s="4"/>
      <c r="X387" s="4"/>
      <c r="Y387" s="4"/>
      <c r="Z387" s="4"/>
    </row>
    <row r="388" spans="1:26" ht="15.75" customHeight="1" x14ac:dyDescent="0.2">
      <c r="A388" s="1" t="s">
        <v>772</v>
      </c>
      <c r="B388" s="1" t="s">
        <v>773</v>
      </c>
      <c r="C388" s="5" t="str">
        <f ca="1">IFERROR(__xludf.DUMMYFUNCTION("REGEXEXTRACT($B388, $E$2)"),"faith")</f>
        <v>faith</v>
      </c>
      <c r="E388" s="4"/>
      <c r="F388" s="4"/>
      <c r="G388" s="4"/>
      <c r="H388" s="4"/>
      <c r="I388" s="4"/>
      <c r="J388" s="4"/>
      <c r="K388" s="4"/>
      <c r="L388" s="4"/>
      <c r="M388" s="4"/>
      <c r="N388" s="4"/>
      <c r="O388" s="4"/>
      <c r="P388" s="4"/>
      <c r="Q388" s="4"/>
      <c r="R388" s="4"/>
      <c r="S388" s="4"/>
      <c r="T388" s="4"/>
      <c r="U388" s="4"/>
      <c r="V388" s="4"/>
      <c r="W388" s="4"/>
      <c r="X388" s="4"/>
      <c r="Y388" s="4"/>
      <c r="Z388" s="4"/>
    </row>
    <row r="389" spans="1:26" ht="15.75" customHeight="1" x14ac:dyDescent="0.2">
      <c r="A389" s="1" t="s">
        <v>774</v>
      </c>
      <c r="B389" s="1" t="s">
        <v>775</v>
      </c>
      <c r="C389" s="5" t="str">
        <f ca="1">IFERROR(__xludf.DUMMYFUNCTION("REGEXEXTRACT($B389, $E$2)"),"fitnyc")</f>
        <v>fitnyc</v>
      </c>
      <c r="E389" s="4"/>
      <c r="F389" s="4"/>
      <c r="G389" s="4"/>
      <c r="H389" s="4"/>
      <c r="I389" s="4"/>
      <c r="J389" s="4"/>
      <c r="K389" s="4"/>
      <c r="L389" s="4"/>
      <c r="M389" s="4"/>
      <c r="N389" s="4"/>
      <c r="O389" s="4"/>
      <c r="P389" s="4"/>
      <c r="Q389" s="4"/>
      <c r="R389" s="4"/>
      <c r="S389" s="4"/>
      <c r="T389" s="4"/>
      <c r="U389" s="4"/>
      <c r="V389" s="4"/>
      <c r="W389" s="4"/>
      <c r="X389" s="4"/>
      <c r="Y389" s="4"/>
      <c r="Z389" s="4"/>
    </row>
    <row r="390" spans="1:26" ht="15.75" customHeight="1" x14ac:dyDescent="0.2">
      <c r="A390" s="1" t="s">
        <v>776</v>
      </c>
      <c r="B390" s="1" t="s">
        <v>777</v>
      </c>
      <c r="C390" s="5" t="str">
        <f ca="1">IFERROR(__xludf.DUMMYFUNCTION("REGEXEXTRACT($B390, $E$2)"),"faulkner")</f>
        <v>faulkner</v>
      </c>
      <c r="E390" s="4"/>
      <c r="F390" s="4"/>
      <c r="G390" s="4"/>
      <c r="H390" s="4"/>
      <c r="I390" s="4"/>
      <c r="J390" s="4"/>
      <c r="K390" s="4"/>
      <c r="L390" s="4"/>
      <c r="M390" s="4"/>
      <c r="N390" s="4"/>
      <c r="O390" s="4"/>
      <c r="P390" s="4"/>
      <c r="Q390" s="4"/>
      <c r="R390" s="4"/>
      <c r="S390" s="4"/>
      <c r="T390" s="4"/>
      <c r="U390" s="4"/>
      <c r="V390" s="4"/>
      <c r="W390" s="4"/>
      <c r="X390" s="4"/>
      <c r="Y390" s="4"/>
      <c r="Z390" s="4"/>
    </row>
    <row r="391" spans="1:26" ht="15.75" customHeight="1" x14ac:dyDescent="0.2">
      <c r="A391" s="1" t="s">
        <v>778</v>
      </c>
      <c r="B391" s="1" t="s">
        <v>779</v>
      </c>
      <c r="C391" s="5" t="str">
        <f ca="1">IFERROR(__xludf.DUMMYFUNCTION("REGEXEXTRACT($B391, $E$2)"),"uncfsu")</f>
        <v>uncfsu</v>
      </c>
      <c r="E391" s="4"/>
      <c r="F391" s="4"/>
      <c r="G391" s="4"/>
      <c r="H391" s="4"/>
      <c r="I391" s="4"/>
      <c r="J391" s="4"/>
      <c r="K391" s="4"/>
      <c r="L391" s="4"/>
      <c r="M391" s="4"/>
      <c r="N391" s="4"/>
      <c r="O391" s="4"/>
      <c r="P391" s="4"/>
      <c r="Q391" s="4"/>
      <c r="R391" s="4"/>
      <c r="S391" s="4"/>
      <c r="T391" s="4"/>
      <c r="U391" s="4"/>
      <c r="V391" s="4"/>
      <c r="W391" s="4"/>
      <c r="X391" s="4"/>
      <c r="Y391" s="4"/>
      <c r="Z391" s="4"/>
    </row>
    <row r="392" spans="1:26" ht="15.75" customHeight="1" x14ac:dyDescent="0.2">
      <c r="A392" s="1" t="s">
        <v>780</v>
      </c>
      <c r="B392" s="1" t="s">
        <v>781</v>
      </c>
      <c r="C392" s="5" t="str">
        <f ca="1">IFERROR(__xludf.DUMMYFUNCTION("REGEXEXTRACT($B392, $E$2)"),"felician")</f>
        <v>felician</v>
      </c>
      <c r="E392" s="4"/>
      <c r="F392" s="4"/>
      <c r="G392" s="4"/>
      <c r="H392" s="4"/>
      <c r="I392" s="4"/>
      <c r="J392" s="4"/>
      <c r="K392" s="4"/>
      <c r="L392" s="4"/>
      <c r="M392" s="4"/>
      <c r="N392" s="4"/>
      <c r="O392" s="4"/>
      <c r="P392" s="4"/>
      <c r="Q392" s="4"/>
      <c r="R392" s="4"/>
      <c r="S392" s="4"/>
      <c r="T392" s="4"/>
      <c r="U392" s="4"/>
      <c r="V392" s="4"/>
      <c r="W392" s="4"/>
      <c r="X392" s="4"/>
      <c r="Y392" s="4"/>
      <c r="Z392" s="4"/>
    </row>
    <row r="393" spans="1:26" ht="15.75" customHeight="1" x14ac:dyDescent="0.2">
      <c r="A393" s="1" t="s">
        <v>782</v>
      </c>
      <c r="B393" s="1" t="s">
        <v>783</v>
      </c>
      <c r="C393" s="5" t="str">
        <f ca="1">IFERROR(__xludf.DUMMYFUNCTION("REGEXEXTRACT($B393, $E$2)"),"ferris")</f>
        <v>ferris</v>
      </c>
      <c r="E393" s="4"/>
      <c r="F393" s="4"/>
      <c r="G393" s="4"/>
      <c r="H393" s="4"/>
      <c r="I393" s="4"/>
      <c r="J393" s="4"/>
      <c r="K393" s="4"/>
      <c r="L393" s="4"/>
      <c r="M393" s="4"/>
      <c r="N393" s="4"/>
      <c r="O393" s="4"/>
      <c r="P393" s="4"/>
      <c r="Q393" s="4"/>
      <c r="R393" s="4"/>
      <c r="S393" s="4"/>
      <c r="T393" s="4"/>
      <c r="U393" s="4"/>
      <c r="V393" s="4"/>
      <c r="W393" s="4"/>
      <c r="X393" s="4"/>
      <c r="Y393" s="4"/>
      <c r="Z393" s="4"/>
    </row>
    <row r="394" spans="1:26" ht="15.75" customHeight="1" x14ac:dyDescent="0.2">
      <c r="A394" s="1" t="s">
        <v>784</v>
      </c>
      <c r="B394" s="1" t="s">
        <v>785</v>
      </c>
      <c r="C394" s="5" t="str">
        <f ca="1">IFERROR(__xludf.DUMMYFUNCTION("REGEXEXTRACT($B394, $E$2)"),"ferrum")</f>
        <v>ferrum</v>
      </c>
      <c r="E394" s="4"/>
      <c r="F394" s="4"/>
      <c r="G394" s="4"/>
      <c r="H394" s="4"/>
      <c r="I394" s="4"/>
      <c r="J394" s="4"/>
      <c r="K394" s="4"/>
      <c r="L394" s="4"/>
      <c r="M394" s="4"/>
      <c r="N394" s="4"/>
      <c r="O394" s="4"/>
      <c r="P394" s="4"/>
      <c r="Q394" s="4"/>
      <c r="R394" s="4"/>
      <c r="S394" s="4"/>
      <c r="T394" s="4"/>
      <c r="U394" s="4"/>
      <c r="V394" s="4"/>
      <c r="W394" s="4"/>
      <c r="X394" s="4"/>
      <c r="Y394" s="4"/>
      <c r="Z394" s="4"/>
    </row>
    <row r="395" spans="1:26" ht="15.75" customHeight="1" x14ac:dyDescent="0.2">
      <c r="A395" s="1" t="s">
        <v>786</v>
      </c>
      <c r="B395" s="1" t="s">
        <v>787</v>
      </c>
      <c r="C395" s="5" t="str">
        <f ca="1">IFERROR(__xludf.DUMMYFUNCTION("REGEXEXTRACT($B395, $E$2)"),"fisher")</f>
        <v>fisher</v>
      </c>
      <c r="E395" s="4"/>
      <c r="F395" s="4"/>
      <c r="G395" s="4"/>
      <c r="H395" s="4"/>
      <c r="I395" s="4"/>
      <c r="J395" s="4"/>
      <c r="K395" s="4"/>
      <c r="L395" s="4"/>
      <c r="M395" s="4"/>
      <c r="N395" s="4"/>
      <c r="O395" s="4"/>
      <c r="P395" s="4"/>
      <c r="Q395" s="4"/>
      <c r="R395" s="4"/>
      <c r="S395" s="4"/>
      <c r="T395" s="4"/>
      <c r="U395" s="4"/>
      <c r="V395" s="4"/>
      <c r="W395" s="4"/>
      <c r="X395" s="4"/>
      <c r="Y395" s="4"/>
      <c r="Z395" s="4"/>
    </row>
    <row r="396" spans="1:26" ht="15.75" customHeight="1" x14ac:dyDescent="0.2">
      <c r="A396" s="1" t="s">
        <v>788</v>
      </c>
      <c r="B396" s="1" t="s">
        <v>789</v>
      </c>
      <c r="C396" s="5" t="str">
        <f ca="1">IFERROR(__xludf.DUMMYFUNCTION("REGEXEXTRACT($B396, $E$2)"),"fisk")</f>
        <v>fisk</v>
      </c>
      <c r="E396" s="4"/>
      <c r="F396" s="4"/>
      <c r="G396" s="4"/>
      <c r="H396" s="4"/>
      <c r="I396" s="4"/>
      <c r="J396" s="4"/>
      <c r="K396" s="4"/>
      <c r="L396" s="4"/>
      <c r="M396" s="4"/>
      <c r="N396" s="4"/>
      <c r="O396" s="4"/>
      <c r="P396" s="4"/>
      <c r="Q396" s="4"/>
      <c r="R396" s="4"/>
      <c r="S396" s="4"/>
      <c r="T396" s="4"/>
      <c r="U396" s="4"/>
      <c r="V396" s="4"/>
      <c r="W396" s="4"/>
      <c r="X396" s="4"/>
      <c r="Y396" s="4"/>
      <c r="Z396" s="4"/>
    </row>
    <row r="397" spans="1:26" ht="15.75" customHeight="1" x14ac:dyDescent="0.2">
      <c r="A397" s="1" t="s">
        <v>790</v>
      </c>
      <c r="B397" s="1" t="s">
        <v>791</v>
      </c>
      <c r="C397" s="5" t="str">
        <f ca="1">IFERROR(__xludf.DUMMYFUNCTION("REGEXEXTRACT($B397, $E$2)"),"fitchburgstate")</f>
        <v>fitchburgstate</v>
      </c>
      <c r="E397" s="4"/>
      <c r="F397" s="4"/>
      <c r="G397" s="4"/>
      <c r="H397" s="4"/>
      <c r="I397" s="4"/>
      <c r="J397" s="4"/>
      <c r="K397" s="4"/>
      <c r="L397" s="4"/>
      <c r="M397" s="4"/>
      <c r="N397" s="4"/>
      <c r="O397" s="4"/>
      <c r="P397" s="4"/>
      <c r="Q397" s="4"/>
      <c r="R397" s="4"/>
      <c r="S397" s="4"/>
      <c r="T397" s="4"/>
      <c r="U397" s="4"/>
      <c r="V397" s="4"/>
      <c r="W397" s="4"/>
      <c r="X397" s="4"/>
      <c r="Y397" s="4"/>
      <c r="Z397" s="4"/>
    </row>
    <row r="398" spans="1:26" ht="15.75" customHeight="1" x14ac:dyDescent="0.2">
      <c r="A398" s="1" t="s">
        <v>792</v>
      </c>
      <c r="B398" s="1" t="s">
        <v>793</v>
      </c>
      <c r="C398" s="5" t="str">
        <f ca="1">IFERROR(__xludf.DUMMYFUNCTION("REGEXEXTRACT($B398, $E$2)"),"ftc")</f>
        <v>ftc</v>
      </c>
      <c r="E398" s="4"/>
      <c r="F398" s="4"/>
      <c r="G398" s="4"/>
      <c r="H398" s="4"/>
      <c r="I398" s="4"/>
      <c r="J398" s="4"/>
      <c r="K398" s="4"/>
      <c r="L398" s="4"/>
      <c r="M398" s="4"/>
      <c r="N398" s="4"/>
      <c r="O398" s="4"/>
      <c r="P398" s="4"/>
      <c r="Q398" s="4"/>
      <c r="R398" s="4"/>
      <c r="S398" s="4"/>
      <c r="T398" s="4"/>
      <c r="U398" s="4"/>
      <c r="V398" s="4"/>
      <c r="W398" s="4"/>
      <c r="X398" s="4"/>
      <c r="Y398" s="4"/>
      <c r="Z398" s="4"/>
    </row>
    <row r="399" spans="1:26" ht="15.75" customHeight="1" x14ac:dyDescent="0.2">
      <c r="A399" s="1" t="s">
        <v>794</v>
      </c>
      <c r="B399" s="1" t="s">
        <v>795</v>
      </c>
      <c r="C399" s="5" t="str">
        <f ca="1">IFERROR(__xludf.DUMMYFUNCTION("REGEXEXTRACT($B399, $E$2)"),"flagler")</f>
        <v>flagler</v>
      </c>
      <c r="E399" s="4"/>
      <c r="F399" s="4"/>
      <c r="G399" s="4"/>
      <c r="H399" s="4"/>
      <c r="I399" s="4"/>
      <c r="J399" s="4"/>
      <c r="K399" s="4"/>
      <c r="L399" s="4"/>
      <c r="M399" s="4"/>
      <c r="N399" s="4"/>
      <c r="O399" s="4"/>
      <c r="P399" s="4"/>
      <c r="Q399" s="4"/>
      <c r="R399" s="4"/>
      <c r="S399" s="4"/>
      <c r="T399" s="4"/>
      <c r="U399" s="4"/>
      <c r="V399" s="4"/>
      <c r="W399" s="4"/>
      <c r="X399" s="4"/>
      <c r="Y399" s="4"/>
      <c r="Z399" s="4"/>
    </row>
    <row r="400" spans="1:26" ht="15.75" customHeight="1" x14ac:dyDescent="0.2">
      <c r="A400" s="1" t="s">
        <v>796</v>
      </c>
      <c r="B400" s="1" t="s">
        <v>797</v>
      </c>
      <c r="C400" s="5" t="str">
        <f ca="1">IFERROR(__xludf.DUMMYFUNCTION("REGEXEXTRACT($B400, $E$2)"),"famu")</f>
        <v>famu</v>
      </c>
      <c r="E400" s="4"/>
      <c r="F400" s="4"/>
      <c r="G400" s="4"/>
      <c r="H400" s="4"/>
      <c r="I400" s="4"/>
      <c r="J400" s="4"/>
      <c r="K400" s="4"/>
      <c r="L400" s="4"/>
      <c r="M400" s="4"/>
      <c r="N400" s="4"/>
      <c r="O400" s="4"/>
      <c r="P400" s="4"/>
      <c r="Q400" s="4"/>
      <c r="R400" s="4"/>
      <c r="S400" s="4"/>
      <c r="T400" s="4"/>
      <c r="U400" s="4"/>
      <c r="V400" s="4"/>
      <c r="W400" s="4"/>
      <c r="X400" s="4"/>
      <c r="Y400" s="4"/>
      <c r="Z400" s="4"/>
    </row>
    <row r="401" spans="1:26" ht="15.75" customHeight="1" x14ac:dyDescent="0.2">
      <c r="A401" s="1" t="s">
        <v>798</v>
      </c>
      <c r="B401" s="1" t="s">
        <v>799</v>
      </c>
      <c r="C401" s="5" t="str">
        <f ca="1">IFERROR(__xludf.DUMMYFUNCTION("REGEXEXTRACT($B401, $E$2)"),"fau")</f>
        <v>fau</v>
      </c>
      <c r="E401" s="4"/>
      <c r="F401" s="4"/>
      <c r="G401" s="4"/>
      <c r="H401" s="4"/>
      <c r="I401" s="4"/>
      <c r="J401" s="4"/>
      <c r="K401" s="4"/>
      <c r="L401" s="4"/>
      <c r="M401" s="4"/>
      <c r="N401" s="4"/>
      <c r="O401" s="4"/>
      <c r="P401" s="4"/>
      <c r="Q401" s="4"/>
      <c r="R401" s="4"/>
      <c r="S401" s="4"/>
      <c r="T401" s="4"/>
      <c r="U401" s="4"/>
      <c r="V401" s="4"/>
      <c r="W401" s="4"/>
      <c r="X401" s="4"/>
      <c r="Y401" s="4"/>
      <c r="Z401" s="4"/>
    </row>
    <row r="402" spans="1:26" ht="15.75" customHeight="1" x14ac:dyDescent="0.2">
      <c r="A402" s="1" t="s">
        <v>800</v>
      </c>
      <c r="B402" s="1" t="s">
        <v>801</v>
      </c>
      <c r="C402" s="5" t="str">
        <f ca="1">IFERROR(__xludf.DUMMYFUNCTION("REGEXEXTRACT($B402, $E$2)"),"floridacollege")</f>
        <v>floridacollege</v>
      </c>
      <c r="E402" s="4"/>
      <c r="F402" s="4"/>
      <c r="G402" s="4"/>
      <c r="H402" s="4"/>
      <c r="I402" s="4"/>
      <c r="J402" s="4"/>
      <c r="K402" s="4"/>
      <c r="L402" s="4"/>
      <c r="M402" s="4"/>
      <c r="N402" s="4"/>
      <c r="O402" s="4"/>
      <c r="P402" s="4"/>
      <c r="Q402" s="4"/>
      <c r="R402" s="4"/>
      <c r="S402" s="4"/>
      <c r="T402" s="4"/>
      <c r="U402" s="4"/>
      <c r="V402" s="4"/>
      <c r="W402" s="4"/>
      <c r="X402" s="4"/>
      <c r="Y402" s="4"/>
      <c r="Z402" s="4"/>
    </row>
    <row r="403" spans="1:26" ht="15.75" customHeight="1" x14ac:dyDescent="0.2">
      <c r="A403" s="1" t="s">
        <v>802</v>
      </c>
      <c r="B403" s="1" t="s">
        <v>803</v>
      </c>
      <c r="C403" s="5" t="str">
        <f ca="1">IFERROR(__xludf.DUMMYFUNCTION("REGEXEXTRACT($B403, $E$2)"),"fgcu")</f>
        <v>fgcu</v>
      </c>
      <c r="E403" s="4"/>
      <c r="F403" s="4"/>
      <c r="G403" s="4"/>
      <c r="H403" s="4"/>
      <c r="I403" s="4"/>
      <c r="J403" s="4"/>
      <c r="K403" s="4"/>
      <c r="L403" s="4"/>
      <c r="M403" s="4"/>
      <c r="N403" s="4"/>
      <c r="O403" s="4"/>
      <c r="P403" s="4"/>
      <c r="Q403" s="4"/>
      <c r="R403" s="4"/>
      <c r="S403" s="4"/>
      <c r="T403" s="4"/>
      <c r="U403" s="4"/>
      <c r="V403" s="4"/>
      <c r="W403" s="4"/>
      <c r="X403" s="4"/>
      <c r="Y403" s="4"/>
      <c r="Z403" s="4"/>
    </row>
    <row r="404" spans="1:26" ht="15.75" customHeight="1" x14ac:dyDescent="0.2">
      <c r="A404" s="1" t="s">
        <v>804</v>
      </c>
      <c r="B404" s="1" t="s">
        <v>805</v>
      </c>
      <c r="C404" s="5" t="str">
        <f ca="1">IFERROR(__xludf.DUMMYFUNCTION("REGEXEXTRACT($B404, $E$2)"),"fit")</f>
        <v>fit</v>
      </c>
      <c r="E404" s="4"/>
      <c r="F404" s="4"/>
      <c r="G404" s="4"/>
      <c r="H404" s="4"/>
      <c r="I404" s="4"/>
      <c r="J404" s="4"/>
      <c r="K404" s="4"/>
      <c r="L404" s="4"/>
      <c r="M404" s="4"/>
      <c r="N404" s="4"/>
      <c r="O404" s="4"/>
      <c r="P404" s="4"/>
      <c r="Q404" s="4"/>
      <c r="R404" s="4"/>
      <c r="S404" s="4"/>
      <c r="T404" s="4"/>
      <c r="U404" s="4"/>
      <c r="V404" s="4"/>
      <c r="W404" s="4"/>
      <c r="X404" s="4"/>
      <c r="Y404" s="4"/>
      <c r="Z404" s="4"/>
    </row>
    <row r="405" spans="1:26" ht="15.75" customHeight="1" x14ac:dyDescent="0.2">
      <c r="A405" s="1" t="s">
        <v>806</v>
      </c>
      <c r="B405" s="1" t="s">
        <v>807</v>
      </c>
      <c r="C405" s="5" t="str">
        <f ca="1">IFERROR(__xludf.DUMMYFUNCTION("REGEXEXTRACT($B405, $E$2)"),"fiu")</f>
        <v>fiu</v>
      </c>
      <c r="E405" s="4"/>
      <c r="F405" s="4"/>
      <c r="G405" s="4"/>
      <c r="H405" s="4"/>
      <c r="I405" s="4"/>
      <c r="J405" s="4"/>
      <c r="K405" s="4"/>
      <c r="L405" s="4"/>
      <c r="M405" s="4"/>
      <c r="N405" s="4"/>
      <c r="O405" s="4"/>
      <c r="P405" s="4"/>
      <c r="Q405" s="4"/>
      <c r="R405" s="4"/>
      <c r="S405" s="4"/>
      <c r="T405" s="4"/>
      <c r="U405" s="4"/>
      <c r="V405" s="4"/>
      <c r="W405" s="4"/>
      <c r="X405" s="4"/>
      <c r="Y405" s="4"/>
      <c r="Z405" s="4"/>
    </row>
    <row r="406" spans="1:26" ht="15.75" customHeight="1" x14ac:dyDescent="0.2">
      <c r="A406" s="1" t="s">
        <v>808</v>
      </c>
      <c r="B406" s="1" t="s">
        <v>809</v>
      </c>
      <c r="C406" s="5" t="str">
        <f ca="1">IFERROR(__xludf.DUMMYFUNCTION("REGEXEXTRACT($B406, $E$2)"),"fmuniv")</f>
        <v>fmuniv</v>
      </c>
      <c r="E406" s="4"/>
      <c r="F406" s="4"/>
      <c r="G406" s="4"/>
      <c r="H406" s="4"/>
      <c r="I406" s="4"/>
      <c r="J406" s="4"/>
      <c r="K406" s="4"/>
      <c r="L406" s="4"/>
      <c r="M406" s="4"/>
      <c r="N406" s="4"/>
      <c r="O406" s="4"/>
      <c r="P406" s="4"/>
      <c r="Q406" s="4"/>
      <c r="R406" s="4"/>
      <c r="S406" s="4"/>
      <c r="T406" s="4"/>
      <c r="U406" s="4"/>
      <c r="V406" s="4"/>
      <c r="W406" s="4"/>
      <c r="X406" s="4"/>
      <c r="Y406" s="4"/>
      <c r="Z406" s="4"/>
    </row>
    <row r="407" spans="1:26" ht="15.75" customHeight="1" x14ac:dyDescent="0.2">
      <c r="A407" s="1" t="s">
        <v>810</v>
      </c>
      <c r="B407" s="1" t="s">
        <v>811</v>
      </c>
      <c r="C407" s="5" t="str">
        <f ca="1">IFERROR(__xludf.DUMMYFUNCTION("REGEXEXTRACT($B407, $E$2)"),"fnu")</f>
        <v>fnu</v>
      </c>
      <c r="E407" s="4"/>
      <c r="F407" s="4"/>
      <c r="G407" s="4"/>
      <c r="H407" s="4"/>
      <c r="I407" s="4"/>
      <c r="J407" s="4"/>
      <c r="K407" s="4"/>
      <c r="L407" s="4"/>
      <c r="M407" s="4"/>
      <c r="N407" s="4"/>
      <c r="O407" s="4"/>
      <c r="P407" s="4"/>
      <c r="Q407" s="4"/>
      <c r="R407" s="4"/>
      <c r="S407" s="4"/>
      <c r="T407" s="4"/>
      <c r="U407" s="4"/>
      <c r="V407" s="4"/>
      <c r="W407" s="4"/>
      <c r="X407" s="4"/>
      <c r="Y407" s="4"/>
      <c r="Z407" s="4"/>
    </row>
    <row r="408" spans="1:26" ht="15.75" customHeight="1" x14ac:dyDescent="0.2">
      <c r="A408" s="1" t="s">
        <v>812</v>
      </c>
      <c r="B408" s="1" t="s">
        <v>813</v>
      </c>
      <c r="C408" s="5" t="str">
        <f ca="1">IFERROR(__xludf.DUMMYFUNCTION("REGEXEXTRACT($B408, $E$2)"),"#N/A")</f>
        <v>#N/A</v>
      </c>
      <c r="E408" s="4"/>
      <c r="F408" s="4"/>
      <c r="G408" s="4"/>
      <c r="H408" s="4"/>
      <c r="I408" s="4"/>
      <c r="J408" s="4"/>
      <c r="K408" s="4"/>
      <c r="L408" s="4"/>
      <c r="M408" s="4"/>
      <c r="N408" s="4"/>
      <c r="O408" s="4"/>
      <c r="P408" s="4"/>
      <c r="Q408" s="4"/>
      <c r="R408" s="4"/>
      <c r="S408" s="4"/>
      <c r="T408" s="4"/>
      <c r="U408" s="4"/>
      <c r="V408" s="4"/>
      <c r="W408" s="4"/>
      <c r="X408" s="4"/>
      <c r="Y408" s="4"/>
      <c r="Z408" s="4"/>
    </row>
    <row r="409" spans="1:26" ht="15.75" customHeight="1" x14ac:dyDescent="0.2">
      <c r="A409" s="1" t="s">
        <v>814</v>
      </c>
      <c r="B409" s="1" t="s">
        <v>815</v>
      </c>
      <c r="C409" s="5" t="str">
        <f ca="1">IFERROR(__xludf.DUMMYFUNCTION("REGEXEXTRACT($B409, $E$2)"),"flsouthern")</f>
        <v>flsouthern</v>
      </c>
      <c r="E409" s="4"/>
      <c r="F409" s="4"/>
      <c r="G409" s="4"/>
      <c r="H409" s="4"/>
      <c r="I409" s="4"/>
      <c r="J409" s="4"/>
      <c r="K409" s="4"/>
      <c r="L409" s="4"/>
      <c r="M409" s="4"/>
      <c r="N409" s="4"/>
      <c r="O409" s="4"/>
      <c r="P409" s="4"/>
      <c r="Q409" s="4"/>
      <c r="R409" s="4"/>
      <c r="S409" s="4"/>
      <c r="T409" s="4"/>
      <c r="U409" s="4"/>
      <c r="V409" s="4"/>
      <c r="W409" s="4"/>
      <c r="X409" s="4"/>
      <c r="Y409" s="4"/>
      <c r="Z409" s="4"/>
    </row>
    <row r="410" spans="1:26" ht="15.75" customHeight="1" x14ac:dyDescent="0.2">
      <c r="A410" s="1" t="s">
        <v>816</v>
      </c>
      <c r="B410" s="1" t="s">
        <v>817</v>
      </c>
      <c r="C410" s="5" t="str">
        <f ca="1">IFERROR(__xludf.DUMMYFUNCTION("REGEXEXTRACT($B410, $E$2)"),"fsu")</f>
        <v>fsu</v>
      </c>
      <c r="E410" s="4"/>
      <c r="F410" s="4"/>
      <c r="G410" s="4"/>
      <c r="H410" s="4"/>
      <c r="I410" s="4"/>
      <c r="J410" s="4"/>
      <c r="K410" s="4"/>
      <c r="L410" s="4"/>
      <c r="M410" s="4"/>
      <c r="N410" s="4"/>
      <c r="O410" s="4"/>
      <c r="P410" s="4"/>
      <c r="Q410" s="4"/>
      <c r="R410" s="4"/>
      <c r="S410" s="4"/>
      <c r="T410" s="4"/>
      <c r="U410" s="4"/>
      <c r="V410" s="4"/>
      <c r="W410" s="4"/>
      <c r="X410" s="4"/>
      <c r="Y410" s="4"/>
      <c r="Z410" s="4"/>
    </row>
    <row r="411" spans="1:26" ht="15.75" customHeight="1" x14ac:dyDescent="0.2">
      <c r="A411" s="1" t="s">
        <v>818</v>
      </c>
      <c r="B411" s="1" t="s">
        <v>819</v>
      </c>
      <c r="C411" s="5" t="str">
        <f ca="1">IFERROR(__xludf.DUMMYFUNCTION("REGEXEXTRACT($B411, $E$2)"),"fontbonne")</f>
        <v>fontbonne</v>
      </c>
      <c r="E411" s="4"/>
      <c r="F411" s="4"/>
      <c r="G411" s="4"/>
      <c r="H411" s="4"/>
      <c r="I411" s="4"/>
      <c r="J411" s="4"/>
      <c r="K411" s="4"/>
      <c r="L411" s="4"/>
      <c r="M411" s="4"/>
      <c r="N411" s="4"/>
      <c r="O411" s="4"/>
      <c r="P411" s="4"/>
      <c r="Q411" s="4"/>
      <c r="R411" s="4"/>
      <c r="S411" s="4"/>
      <c r="T411" s="4"/>
      <c r="U411" s="4"/>
      <c r="V411" s="4"/>
      <c r="W411" s="4"/>
      <c r="X411" s="4"/>
      <c r="Y411" s="4"/>
      <c r="Z411" s="4"/>
    </row>
    <row r="412" spans="1:26" ht="15.75" customHeight="1" x14ac:dyDescent="0.2">
      <c r="A412" s="1" t="s">
        <v>820</v>
      </c>
      <c r="B412" s="1" t="s">
        <v>821</v>
      </c>
      <c r="C412" s="5" t="str">
        <f ca="1">IFERROR(__xludf.DUMMYFUNCTION("REGEXEXTRACT($B412, $E$2)"),"fordham")</f>
        <v>fordham</v>
      </c>
      <c r="E412" s="4"/>
      <c r="F412" s="4"/>
      <c r="G412" s="4"/>
      <c r="H412" s="4"/>
      <c r="I412" s="4"/>
      <c r="J412" s="4"/>
      <c r="K412" s="4"/>
      <c r="L412" s="4"/>
      <c r="M412" s="4"/>
      <c r="N412" s="4"/>
      <c r="O412" s="4"/>
      <c r="P412" s="4"/>
      <c r="Q412" s="4"/>
      <c r="R412" s="4"/>
      <c r="S412" s="4"/>
      <c r="T412" s="4"/>
      <c r="U412" s="4"/>
      <c r="V412" s="4"/>
      <c r="W412" s="4"/>
      <c r="X412" s="4"/>
      <c r="Y412" s="4"/>
      <c r="Z412" s="4"/>
    </row>
    <row r="413" spans="1:26" ht="15.75" customHeight="1" x14ac:dyDescent="0.2">
      <c r="A413" s="1" t="s">
        <v>822</v>
      </c>
      <c r="B413" s="1" t="s">
        <v>823</v>
      </c>
      <c r="C413" s="5" t="str">
        <f ca="1">IFERROR(__xludf.DUMMYFUNCTION("REGEXEXTRACT($B413, $E$2)"),"fhsu")</f>
        <v>fhsu</v>
      </c>
      <c r="E413" s="4"/>
      <c r="F413" s="4"/>
      <c r="G413" s="4"/>
      <c r="H413" s="4"/>
      <c r="I413" s="4"/>
      <c r="J413" s="4"/>
      <c r="K413" s="4"/>
      <c r="L413" s="4"/>
      <c r="M413" s="4"/>
      <c r="N413" s="4"/>
      <c r="O413" s="4"/>
      <c r="P413" s="4"/>
      <c r="Q413" s="4"/>
      <c r="R413" s="4"/>
      <c r="S413" s="4"/>
      <c r="T413" s="4"/>
      <c r="U413" s="4"/>
      <c r="V413" s="4"/>
      <c r="W413" s="4"/>
      <c r="X413" s="4"/>
      <c r="Y413" s="4"/>
      <c r="Z413" s="4"/>
    </row>
    <row r="414" spans="1:26" ht="15.75" customHeight="1" x14ac:dyDescent="0.2">
      <c r="A414" s="1" t="s">
        <v>824</v>
      </c>
      <c r="B414" s="1" t="s">
        <v>825</v>
      </c>
      <c r="C414" s="5" t="str">
        <f ca="1">IFERROR(__xludf.DUMMYFUNCTION("REGEXEXTRACT($B414, $E$2)"),"fortlewis")</f>
        <v>fortlewis</v>
      </c>
      <c r="E414" s="4"/>
      <c r="F414" s="4"/>
      <c r="G414" s="4"/>
      <c r="H414" s="4"/>
      <c r="I414" s="4"/>
      <c r="J414" s="4"/>
      <c r="K414" s="4"/>
      <c r="L414" s="4"/>
      <c r="M414" s="4"/>
      <c r="N414" s="4"/>
      <c r="O414" s="4"/>
      <c r="P414" s="4"/>
      <c r="Q414" s="4"/>
      <c r="R414" s="4"/>
      <c r="S414" s="4"/>
      <c r="T414" s="4"/>
      <c r="U414" s="4"/>
      <c r="V414" s="4"/>
      <c r="W414" s="4"/>
      <c r="X414" s="4"/>
      <c r="Y414" s="4"/>
      <c r="Z414" s="4"/>
    </row>
    <row r="415" spans="1:26" ht="15.75" customHeight="1" x14ac:dyDescent="0.2">
      <c r="A415" s="1" t="s">
        <v>826</v>
      </c>
      <c r="B415" s="1" t="s">
        <v>827</v>
      </c>
      <c r="C415" s="5" t="str">
        <f ca="1">IFERROR(__xludf.DUMMYFUNCTION("REGEXEXTRACT($B415, $E$2)"),"fvsu")</f>
        <v>fvsu</v>
      </c>
      <c r="E415" s="4"/>
      <c r="F415" s="4"/>
      <c r="G415" s="4"/>
      <c r="H415" s="4"/>
      <c r="I415" s="4"/>
      <c r="J415" s="4"/>
      <c r="K415" s="4"/>
      <c r="L415" s="4"/>
      <c r="M415" s="4"/>
      <c r="N415" s="4"/>
      <c r="O415" s="4"/>
      <c r="P415" s="4"/>
      <c r="Q415" s="4"/>
      <c r="R415" s="4"/>
      <c r="S415" s="4"/>
      <c r="T415" s="4"/>
      <c r="U415" s="4"/>
      <c r="V415" s="4"/>
      <c r="W415" s="4"/>
      <c r="X415" s="4"/>
      <c r="Y415" s="4"/>
      <c r="Z415" s="4"/>
    </row>
    <row r="416" spans="1:26" ht="15.75" customHeight="1" x14ac:dyDescent="0.2">
      <c r="A416" s="1" t="s">
        <v>828</v>
      </c>
      <c r="B416" s="1" t="s">
        <v>829</v>
      </c>
      <c r="C416" s="5" t="str">
        <f ca="1">IFERROR(__xludf.DUMMYFUNCTION("REGEXEXTRACT($B416, $E$2)"),"framingham")</f>
        <v>framingham</v>
      </c>
      <c r="E416" s="4"/>
      <c r="F416" s="4"/>
      <c r="G416" s="4"/>
      <c r="H416" s="4"/>
      <c r="I416" s="4"/>
      <c r="J416" s="4"/>
      <c r="K416" s="4"/>
      <c r="L416" s="4"/>
      <c r="M416" s="4"/>
      <c r="N416" s="4"/>
      <c r="O416" s="4"/>
      <c r="P416" s="4"/>
      <c r="Q416" s="4"/>
      <c r="R416" s="4"/>
      <c r="S416" s="4"/>
      <c r="T416" s="4"/>
      <c r="U416" s="4"/>
      <c r="V416" s="4"/>
      <c r="W416" s="4"/>
      <c r="X416" s="4"/>
      <c r="Y416" s="4"/>
      <c r="Z416" s="4"/>
    </row>
    <row r="417" spans="1:26" ht="15.75" customHeight="1" x14ac:dyDescent="0.2">
      <c r="A417" s="1" t="s">
        <v>830</v>
      </c>
      <c r="B417" s="1" t="s">
        <v>831</v>
      </c>
      <c r="C417" s="5" t="str">
        <f ca="1">IFERROR(__xludf.DUMMYFUNCTION("REGEXEXTRACT($B417, $E$2)"),"fmarion")</f>
        <v>fmarion</v>
      </c>
      <c r="E417" s="4"/>
      <c r="F417" s="4"/>
      <c r="G417" s="4"/>
      <c r="H417" s="4"/>
      <c r="I417" s="4"/>
      <c r="J417" s="4"/>
      <c r="K417" s="4"/>
      <c r="L417" s="4"/>
      <c r="M417" s="4"/>
      <c r="N417" s="4"/>
      <c r="O417" s="4"/>
      <c r="P417" s="4"/>
      <c r="Q417" s="4"/>
      <c r="R417" s="4"/>
      <c r="S417" s="4"/>
      <c r="T417" s="4"/>
      <c r="U417" s="4"/>
      <c r="V417" s="4"/>
      <c r="W417" s="4"/>
      <c r="X417" s="4"/>
      <c r="Y417" s="4"/>
      <c r="Z417" s="4"/>
    </row>
    <row r="418" spans="1:26" ht="15.75" customHeight="1" x14ac:dyDescent="0.2">
      <c r="A418" s="1" t="s">
        <v>832</v>
      </c>
      <c r="B418" s="1" t="s">
        <v>833</v>
      </c>
      <c r="C418" s="5" t="str">
        <f ca="1">IFERROR(__xludf.DUMMYFUNCTION("REGEXEXTRACT($B418, $E$2)"),"ololcollege")</f>
        <v>ololcollege</v>
      </c>
      <c r="E418" s="4"/>
      <c r="F418" s="4"/>
      <c r="G418" s="4"/>
      <c r="H418" s="4"/>
      <c r="I418" s="4"/>
      <c r="J418" s="4"/>
      <c r="K418" s="4"/>
      <c r="L418" s="4"/>
      <c r="M418" s="4"/>
      <c r="N418" s="4"/>
      <c r="O418" s="4"/>
      <c r="P418" s="4"/>
      <c r="Q418" s="4"/>
      <c r="R418" s="4"/>
      <c r="S418" s="4"/>
      <c r="T418" s="4"/>
      <c r="U418" s="4"/>
      <c r="V418" s="4"/>
      <c r="W418" s="4"/>
      <c r="X418" s="4"/>
      <c r="Y418" s="4"/>
      <c r="Z418" s="4"/>
    </row>
    <row r="419" spans="1:26" ht="15.75" customHeight="1" x14ac:dyDescent="0.2">
      <c r="A419" s="1" t="s">
        <v>834</v>
      </c>
      <c r="B419" s="1" t="s">
        <v>835</v>
      </c>
      <c r="C419" s="5" t="str">
        <f ca="1">IFERROR(__xludf.DUMMYFUNCTION("REGEXEXTRACT($B419, $E$2)"),"franciscan")</f>
        <v>franciscan</v>
      </c>
      <c r="E419" s="4"/>
      <c r="F419" s="4"/>
      <c r="G419" s="4"/>
      <c r="H419" s="4"/>
      <c r="I419" s="4"/>
      <c r="J419" s="4"/>
      <c r="K419" s="4"/>
      <c r="L419" s="4"/>
      <c r="M419" s="4"/>
      <c r="N419" s="4"/>
      <c r="O419" s="4"/>
      <c r="P419" s="4"/>
      <c r="Q419" s="4"/>
      <c r="R419" s="4"/>
      <c r="S419" s="4"/>
      <c r="T419" s="4"/>
      <c r="U419" s="4"/>
      <c r="V419" s="4"/>
      <c r="W419" s="4"/>
      <c r="X419" s="4"/>
      <c r="Y419" s="4"/>
      <c r="Z419" s="4"/>
    </row>
    <row r="420" spans="1:26" ht="15.75" customHeight="1" x14ac:dyDescent="0.2">
      <c r="A420" s="1" t="s">
        <v>836</v>
      </c>
      <c r="B420" s="1" t="s">
        <v>837</v>
      </c>
      <c r="C420" s="5" t="str">
        <f ca="1">IFERROR(__xludf.DUMMYFUNCTION("REGEXEXTRACT($B420, $E$2)"),"franklincollege")</f>
        <v>franklincollege</v>
      </c>
      <c r="E420" s="4"/>
      <c r="F420" s="4"/>
      <c r="G420" s="4"/>
      <c r="H420" s="4"/>
      <c r="I420" s="4"/>
      <c r="J420" s="4"/>
      <c r="K420" s="4"/>
      <c r="L420" s="4"/>
      <c r="M420" s="4"/>
      <c r="N420" s="4"/>
      <c r="O420" s="4"/>
      <c r="P420" s="4"/>
      <c r="Q420" s="4"/>
      <c r="R420" s="4"/>
      <c r="S420" s="4"/>
      <c r="T420" s="4"/>
      <c r="U420" s="4"/>
      <c r="V420" s="4"/>
      <c r="W420" s="4"/>
      <c r="X420" s="4"/>
      <c r="Y420" s="4"/>
      <c r="Z420" s="4"/>
    </row>
    <row r="421" spans="1:26" ht="15.75" customHeight="1" x14ac:dyDescent="0.2">
      <c r="A421" s="1" t="s">
        <v>838</v>
      </c>
      <c r="B421" s="1" t="s">
        <v>839</v>
      </c>
      <c r="C421" s="5" t="str">
        <f ca="1">IFERROR(__xludf.DUMMYFUNCTION("REGEXEXTRACT($B421, $E$2)"),"fandm")</f>
        <v>fandm</v>
      </c>
      <c r="E421" s="4"/>
      <c r="F421" s="4"/>
      <c r="G421" s="4"/>
      <c r="H421" s="4"/>
      <c r="I421" s="4"/>
      <c r="J421" s="4"/>
      <c r="K421" s="4"/>
      <c r="L421" s="4"/>
      <c r="M421" s="4"/>
      <c r="N421" s="4"/>
      <c r="O421" s="4"/>
      <c r="P421" s="4"/>
      <c r="Q421" s="4"/>
      <c r="R421" s="4"/>
      <c r="S421" s="4"/>
      <c r="T421" s="4"/>
      <c r="U421" s="4"/>
      <c r="V421" s="4"/>
      <c r="W421" s="4"/>
      <c r="X421" s="4"/>
      <c r="Y421" s="4"/>
      <c r="Z421" s="4"/>
    </row>
    <row r="422" spans="1:26" ht="15.75" customHeight="1" x14ac:dyDescent="0.2">
      <c r="A422" s="1" t="s">
        <v>840</v>
      </c>
      <c r="B422" s="1" t="s">
        <v>841</v>
      </c>
      <c r="C422" s="5" t="str">
        <f ca="1">IFERROR(__xludf.DUMMYFUNCTION("REGEXEXTRACT($B422, $E$2)"),"franklinpierce")</f>
        <v>franklinpierce</v>
      </c>
      <c r="E422" s="4"/>
      <c r="F422" s="4"/>
      <c r="G422" s="4"/>
      <c r="H422" s="4"/>
      <c r="I422" s="4"/>
      <c r="J422" s="4"/>
      <c r="K422" s="4"/>
      <c r="L422" s="4"/>
      <c r="M422" s="4"/>
      <c r="N422" s="4"/>
      <c r="O422" s="4"/>
      <c r="P422" s="4"/>
      <c r="Q422" s="4"/>
      <c r="R422" s="4"/>
      <c r="S422" s="4"/>
      <c r="T422" s="4"/>
      <c r="U422" s="4"/>
      <c r="V422" s="4"/>
      <c r="W422" s="4"/>
      <c r="X422" s="4"/>
      <c r="Y422" s="4"/>
      <c r="Z422" s="4"/>
    </row>
    <row r="423" spans="1:26" ht="15.75" customHeight="1" x14ac:dyDescent="0.2">
      <c r="A423" s="1" t="s">
        <v>842</v>
      </c>
      <c r="B423" s="1" t="s">
        <v>843</v>
      </c>
      <c r="C423" s="5" t="str">
        <f ca="1">IFERROR(__xludf.DUMMYFUNCTION("REGEXEXTRACT($B423, $E$2)"),"fus")</f>
        <v>fus</v>
      </c>
      <c r="E423" s="4"/>
      <c r="F423" s="4"/>
      <c r="G423" s="4"/>
      <c r="H423" s="4"/>
      <c r="I423" s="4"/>
      <c r="J423" s="4"/>
      <c r="K423" s="4"/>
      <c r="L423" s="4"/>
      <c r="M423" s="4"/>
      <c r="N423" s="4"/>
      <c r="O423" s="4"/>
      <c r="P423" s="4"/>
      <c r="Q423" s="4"/>
      <c r="R423" s="4"/>
      <c r="S423" s="4"/>
      <c r="T423" s="4"/>
      <c r="U423" s="4"/>
      <c r="V423" s="4"/>
      <c r="W423" s="4"/>
      <c r="X423" s="4"/>
      <c r="Y423" s="4"/>
      <c r="Z423" s="4"/>
    </row>
    <row r="424" spans="1:26" ht="15.75" customHeight="1" x14ac:dyDescent="0.2">
      <c r="A424" s="1" t="s">
        <v>844</v>
      </c>
      <c r="B424" s="1" t="s">
        <v>845</v>
      </c>
      <c r="C424" s="5" t="str">
        <f ca="1">IFERROR(__xludf.DUMMYFUNCTION("REGEXEXTRACT($B424, $E$2)"),"olin")</f>
        <v>olin</v>
      </c>
      <c r="E424" s="4"/>
      <c r="F424" s="4"/>
      <c r="G424" s="4"/>
      <c r="H424" s="4"/>
      <c r="I424" s="4"/>
      <c r="J424" s="4"/>
      <c r="K424" s="4"/>
      <c r="L424" s="4"/>
      <c r="M424" s="4"/>
      <c r="N424" s="4"/>
      <c r="O424" s="4"/>
      <c r="P424" s="4"/>
      <c r="Q424" s="4"/>
      <c r="R424" s="4"/>
      <c r="S424" s="4"/>
      <c r="T424" s="4"/>
      <c r="U424" s="4"/>
      <c r="V424" s="4"/>
      <c r="W424" s="4"/>
      <c r="X424" s="4"/>
      <c r="Y424" s="4"/>
      <c r="Z424" s="4"/>
    </row>
    <row r="425" spans="1:26" ht="15.75" customHeight="1" x14ac:dyDescent="0.2">
      <c r="A425" s="1" t="s">
        <v>846</v>
      </c>
      <c r="B425" s="1" t="s">
        <v>847</v>
      </c>
      <c r="C425" s="5" t="str">
        <f ca="1">IFERROR(__xludf.DUMMYFUNCTION("REGEXEXTRACT($B425, $E$2)"),"fhu")</f>
        <v>fhu</v>
      </c>
      <c r="E425" s="4"/>
      <c r="F425" s="4"/>
      <c r="G425" s="4"/>
      <c r="H425" s="4"/>
      <c r="I425" s="4"/>
      <c r="J425" s="4"/>
      <c r="K425" s="4"/>
      <c r="L425" s="4"/>
      <c r="M425" s="4"/>
      <c r="N425" s="4"/>
      <c r="O425" s="4"/>
      <c r="P425" s="4"/>
      <c r="Q425" s="4"/>
      <c r="R425" s="4"/>
      <c r="S425" s="4"/>
      <c r="T425" s="4"/>
      <c r="U425" s="4"/>
      <c r="V425" s="4"/>
      <c r="W425" s="4"/>
      <c r="X425" s="4"/>
      <c r="Y425" s="4"/>
      <c r="Z425" s="4"/>
    </row>
    <row r="426" spans="1:26" ht="15.75" customHeight="1" x14ac:dyDescent="0.2">
      <c r="A426" s="1" t="s">
        <v>848</v>
      </c>
      <c r="B426" s="1" t="s">
        <v>849</v>
      </c>
      <c r="C426" s="5" t="str">
        <f ca="1">IFERROR(__xludf.DUMMYFUNCTION("REGEXEXTRACT($B426, $E$2)"),"fresno")</f>
        <v>fresno</v>
      </c>
      <c r="E426" s="4"/>
      <c r="F426" s="4"/>
      <c r="G426" s="4"/>
      <c r="H426" s="4"/>
      <c r="I426" s="4"/>
      <c r="J426" s="4"/>
      <c r="K426" s="4"/>
      <c r="L426" s="4"/>
      <c r="M426" s="4"/>
      <c r="N426" s="4"/>
      <c r="O426" s="4"/>
      <c r="P426" s="4"/>
      <c r="Q426" s="4"/>
      <c r="R426" s="4"/>
      <c r="S426" s="4"/>
      <c r="T426" s="4"/>
      <c r="U426" s="4"/>
      <c r="V426" s="4"/>
      <c r="W426" s="4"/>
      <c r="X426" s="4"/>
      <c r="Y426" s="4"/>
      <c r="Z426" s="4"/>
    </row>
    <row r="427" spans="1:26" ht="15.75" customHeight="1" x14ac:dyDescent="0.2">
      <c r="A427" s="1" t="s">
        <v>850</v>
      </c>
      <c r="B427" s="1" t="s">
        <v>851</v>
      </c>
      <c r="C427" s="5" t="str">
        <f ca="1">IFERROR(__xludf.DUMMYFUNCTION("REGEXEXTRACT($B427, $E$2)"),"friends")</f>
        <v>friends</v>
      </c>
      <c r="E427" s="4"/>
      <c r="F427" s="4"/>
      <c r="G427" s="4"/>
      <c r="H427" s="4"/>
      <c r="I427" s="4"/>
      <c r="J427" s="4"/>
      <c r="K427" s="4"/>
      <c r="L427" s="4"/>
      <c r="M427" s="4"/>
      <c r="N427" s="4"/>
      <c r="O427" s="4"/>
      <c r="P427" s="4"/>
      <c r="Q427" s="4"/>
      <c r="R427" s="4"/>
      <c r="S427" s="4"/>
      <c r="T427" s="4"/>
      <c r="U427" s="4"/>
      <c r="V427" s="4"/>
      <c r="W427" s="4"/>
      <c r="X427" s="4"/>
      <c r="Y427" s="4"/>
      <c r="Z427" s="4"/>
    </row>
    <row r="428" spans="1:26" ht="15.75" customHeight="1" x14ac:dyDescent="0.2">
      <c r="A428" s="1" t="s">
        <v>852</v>
      </c>
      <c r="B428" s="1" t="s">
        <v>853</v>
      </c>
      <c r="C428" s="5" t="str">
        <f ca="1">IFERROR(__xludf.DUMMYFUNCTION("REGEXEXTRACT($B428, $E$2)"),"frostburg")</f>
        <v>frostburg</v>
      </c>
      <c r="E428" s="4"/>
      <c r="F428" s="4"/>
      <c r="G428" s="4"/>
      <c r="H428" s="4"/>
      <c r="I428" s="4"/>
      <c r="J428" s="4"/>
      <c r="K428" s="4"/>
      <c r="L428" s="4"/>
      <c r="M428" s="4"/>
      <c r="N428" s="4"/>
      <c r="O428" s="4"/>
      <c r="P428" s="4"/>
      <c r="Q428" s="4"/>
      <c r="R428" s="4"/>
      <c r="S428" s="4"/>
      <c r="T428" s="4"/>
      <c r="U428" s="4"/>
      <c r="V428" s="4"/>
      <c r="W428" s="4"/>
      <c r="X428" s="4"/>
      <c r="Y428" s="4"/>
      <c r="Z428" s="4"/>
    </row>
    <row r="429" spans="1:26" ht="15.75" customHeight="1" x14ac:dyDescent="0.2">
      <c r="A429" s="1" t="s">
        <v>854</v>
      </c>
      <c r="B429" s="1" t="s">
        <v>855</v>
      </c>
      <c r="C429" s="5" t="str">
        <f ca="1">IFERROR(__xludf.DUMMYFUNCTION("REGEXEXTRACT($B429, $E$2)"),"furman")</f>
        <v>furman</v>
      </c>
      <c r="E429" s="4"/>
      <c r="F429" s="4"/>
      <c r="G429" s="4"/>
      <c r="H429" s="4"/>
      <c r="I429" s="4"/>
      <c r="J429" s="4"/>
      <c r="K429" s="4"/>
      <c r="L429" s="4"/>
      <c r="M429" s="4"/>
      <c r="N429" s="4"/>
      <c r="O429" s="4"/>
      <c r="P429" s="4"/>
      <c r="Q429" s="4"/>
      <c r="R429" s="4"/>
      <c r="S429" s="4"/>
      <c r="T429" s="4"/>
      <c r="U429" s="4"/>
      <c r="V429" s="4"/>
      <c r="W429" s="4"/>
      <c r="X429" s="4"/>
      <c r="Y429" s="4"/>
      <c r="Z429" s="4"/>
    </row>
    <row r="430" spans="1:26" ht="15.75" customHeight="1" x14ac:dyDescent="0.2">
      <c r="A430" s="1" t="s">
        <v>856</v>
      </c>
      <c r="B430" s="1" t="s">
        <v>857</v>
      </c>
      <c r="C430" s="5" t="str">
        <f ca="1">IFERROR(__xludf.DUMMYFUNCTION("REGEXEXTRACT($B430, $E$2)"),"gallaudet")</f>
        <v>gallaudet</v>
      </c>
      <c r="E430" s="4"/>
      <c r="F430" s="4"/>
      <c r="G430" s="4"/>
      <c r="H430" s="4"/>
      <c r="I430" s="4"/>
      <c r="J430" s="4"/>
      <c r="K430" s="4"/>
      <c r="L430" s="4"/>
      <c r="M430" s="4"/>
      <c r="N430" s="4"/>
      <c r="O430" s="4"/>
      <c r="P430" s="4"/>
      <c r="Q430" s="4"/>
      <c r="R430" s="4"/>
      <c r="S430" s="4"/>
      <c r="T430" s="4"/>
      <c r="U430" s="4"/>
      <c r="V430" s="4"/>
      <c r="W430" s="4"/>
      <c r="X430" s="4"/>
      <c r="Y430" s="4"/>
      <c r="Z430" s="4"/>
    </row>
    <row r="431" spans="1:26" ht="15.75" customHeight="1" x14ac:dyDescent="0.2">
      <c r="A431" s="1" t="s">
        <v>858</v>
      </c>
      <c r="B431" s="1" t="s">
        <v>859</v>
      </c>
      <c r="C431" s="5" t="str">
        <f ca="1">IFERROR(__xludf.DUMMYFUNCTION("REGEXEXTRACT($B431, $E$2)"),"gannon")</f>
        <v>gannon</v>
      </c>
      <c r="E431" s="4"/>
      <c r="F431" s="4"/>
      <c r="G431" s="4"/>
      <c r="H431" s="4"/>
      <c r="I431" s="4"/>
      <c r="J431" s="4"/>
      <c r="K431" s="4"/>
      <c r="L431" s="4"/>
      <c r="M431" s="4"/>
      <c r="N431" s="4"/>
      <c r="O431" s="4"/>
      <c r="P431" s="4"/>
      <c r="Q431" s="4"/>
      <c r="R431" s="4"/>
      <c r="S431" s="4"/>
      <c r="T431" s="4"/>
      <c r="U431" s="4"/>
      <c r="V431" s="4"/>
      <c r="W431" s="4"/>
      <c r="X431" s="4"/>
      <c r="Y431" s="4"/>
      <c r="Z431" s="4"/>
    </row>
    <row r="432" spans="1:26" ht="15.75" customHeight="1" x14ac:dyDescent="0.2">
      <c r="A432" s="1" t="s">
        <v>860</v>
      </c>
      <c r="B432" s="1" t="s">
        <v>861</v>
      </c>
      <c r="C432" s="5" t="str">
        <f ca="1">IFERROR(__xludf.DUMMYFUNCTION("REGEXEXTRACT($B432, $E$2)"),"gardner-webb")</f>
        <v>gardner-webb</v>
      </c>
      <c r="E432" s="4"/>
      <c r="F432" s="4"/>
      <c r="G432" s="4"/>
      <c r="H432" s="4"/>
      <c r="I432" s="4"/>
      <c r="J432" s="4"/>
      <c r="K432" s="4"/>
      <c r="L432" s="4"/>
      <c r="M432" s="4"/>
      <c r="N432" s="4"/>
      <c r="O432" s="4"/>
      <c r="P432" s="4"/>
      <c r="Q432" s="4"/>
      <c r="R432" s="4"/>
      <c r="S432" s="4"/>
      <c r="T432" s="4"/>
      <c r="U432" s="4"/>
      <c r="V432" s="4"/>
      <c r="W432" s="4"/>
      <c r="X432" s="4"/>
      <c r="Y432" s="4"/>
      <c r="Z432" s="4"/>
    </row>
    <row r="433" spans="1:26" ht="15.75" customHeight="1" x14ac:dyDescent="0.2">
      <c r="A433" s="1" t="s">
        <v>862</v>
      </c>
      <c r="B433" s="1" t="s">
        <v>863</v>
      </c>
      <c r="C433" s="5" t="str">
        <f ca="1">IFERROR(__xludf.DUMMYFUNCTION("REGEXEXTRACT($B433, $E$2)"),"georgefox")</f>
        <v>georgefox</v>
      </c>
      <c r="E433" s="4"/>
      <c r="F433" s="4"/>
      <c r="G433" s="4"/>
      <c r="H433" s="4"/>
      <c r="I433" s="4"/>
      <c r="J433" s="4"/>
      <c r="K433" s="4"/>
      <c r="L433" s="4"/>
      <c r="M433" s="4"/>
      <c r="N433" s="4"/>
      <c r="O433" s="4"/>
      <c r="P433" s="4"/>
      <c r="Q433" s="4"/>
      <c r="R433" s="4"/>
      <c r="S433" s="4"/>
      <c r="T433" s="4"/>
      <c r="U433" s="4"/>
      <c r="V433" s="4"/>
      <c r="W433" s="4"/>
      <c r="X433" s="4"/>
      <c r="Y433" s="4"/>
      <c r="Z433" s="4"/>
    </row>
    <row r="434" spans="1:26" ht="15.75" customHeight="1" x14ac:dyDescent="0.2">
      <c r="A434" s="1" t="s">
        <v>864</v>
      </c>
      <c r="B434" s="1" t="s">
        <v>865</v>
      </c>
      <c r="C434" s="5" t="str">
        <f ca="1">IFERROR(__xludf.DUMMYFUNCTION("REGEXEXTRACT($B434, $E$2)"),"gmu")</f>
        <v>gmu</v>
      </c>
      <c r="E434" s="4"/>
      <c r="F434" s="4"/>
      <c r="G434" s="4"/>
      <c r="H434" s="4"/>
      <c r="I434" s="4"/>
      <c r="J434" s="4"/>
      <c r="K434" s="4"/>
      <c r="L434" s="4"/>
      <c r="M434" s="4"/>
      <c r="N434" s="4"/>
      <c r="O434" s="4"/>
      <c r="P434" s="4"/>
      <c r="Q434" s="4"/>
      <c r="R434" s="4"/>
      <c r="S434" s="4"/>
      <c r="T434" s="4"/>
      <c r="U434" s="4"/>
      <c r="V434" s="4"/>
      <c r="W434" s="4"/>
      <c r="X434" s="4"/>
      <c r="Y434" s="4"/>
      <c r="Z434" s="4"/>
    </row>
    <row r="435" spans="1:26" ht="15.75" customHeight="1" x14ac:dyDescent="0.2">
      <c r="A435" s="1" t="s">
        <v>866</v>
      </c>
      <c r="B435" s="1" t="s">
        <v>867</v>
      </c>
      <c r="C435" s="5" t="str">
        <f ca="1">IFERROR(__xludf.DUMMYFUNCTION("REGEXEXTRACT($B435, $E$2)"),"gwu")</f>
        <v>gwu</v>
      </c>
      <c r="E435" s="4"/>
      <c r="F435" s="4"/>
      <c r="G435" s="4"/>
      <c r="H435" s="4"/>
      <c r="I435" s="4"/>
      <c r="J435" s="4"/>
      <c r="K435" s="4"/>
      <c r="L435" s="4"/>
      <c r="M435" s="4"/>
      <c r="N435" s="4"/>
      <c r="O435" s="4"/>
      <c r="P435" s="4"/>
      <c r="Q435" s="4"/>
      <c r="R435" s="4"/>
      <c r="S435" s="4"/>
      <c r="T435" s="4"/>
      <c r="U435" s="4"/>
      <c r="V435" s="4"/>
      <c r="W435" s="4"/>
      <c r="X435" s="4"/>
      <c r="Y435" s="4"/>
      <c r="Z435" s="4"/>
    </row>
    <row r="436" spans="1:26" ht="15.75" customHeight="1" x14ac:dyDescent="0.2">
      <c r="A436" s="1" t="s">
        <v>868</v>
      </c>
      <c r="B436" s="1" t="s">
        <v>869</v>
      </c>
      <c r="C436" s="5" t="str">
        <f ca="1">IFERROR(__xludf.DUMMYFUNCTION("REGEXEXTRACT($B436, $E$2)"),"georgetowncollege")</f>
        <v>georgetowncollege</v>
      </c>
      <c r="E436" s="4"/>
      <c r="F436" s="4"/>
      <c r="G436" s="4"/>
      <c r="H436" s="4"/>
      <c r="I436" s="4"/>
      <c r="J436" s="4"/>
      <c r="K436" s="4"/>
      <c r="L436" s="4"/>
      <c r="M436" s="4"/>
      <c r="N436" s="4"/>
      <c r="O436" s="4"/>
      <c r="P436" s="4"/>
      <c r="Q436" s="4"/>
      <c r="R436" s="4"/>
      <c r="S436" s="4"/>
      <c r="T436" s="4"/>
      <c r="U436" s="4"/>
      <c r="V436" s="4"/>
      <c r="W436" s="4"/>
      <c r="X436" s="4"/>
      <c r="Y436" s="4"/>
      <c r="Z436" s="4"/>
    </row>
    <row r="437" spans="1:26" ht="15.75" customHeight="1" x14ac:dyDescent="0.2">
      <c r="A437" s="1" t="s">
        <v>870</v>
      </c>
      <c r="B437" s="1" t="s">
        <v>871</v>
      </c>
      <c r="C437" s="5" t="str">
        <f ca="1">IFERROR(__xludf.DUMMYFUNCTION("REGEXEXTRACT($B437, $E$2)"),"georgetown")</f>
        <v>georgetown</v>
      </c>
      <c r="E437" s="4"/>
      <c r="F437" s="4"/>
      <c r="G437" s="4"/>
      <c r="H437" s="4"/>
      <c r="I437" s="4"/>
      <c r="J437" s="4"/>
      <c r="K437" s="4"/>
      <c r="L437" s="4"/>
      <c r="M437" s="4"/>
      <c r="N437" s="4"/>
      <c r="O437" s="4"/>
      <c r="P437" s="4"/>
      <c r="Q437" s="4"/>
      <c r="R437" s="4"/>
      <c r="S437" s="4"/>
      <c r="T437" s="4"/>
      <c r="U437" s="4"/>
      <c r="V437" s="4"/>
      <c r="W437" s="4"/>
      <c r="X437" s="4"/>
      <c r="Y437" s="4"/>
      <c r="Z437" s="4"/>
    </row>
    <row r="438" spans="1:26" ht="15.75" customHeight="1" x14ac:dyDescent="0.2">
      <c r="A438" s="1" t="s">
        <v>872</v>
      </c>
      <c r="B438" s="1" t="s">
        <v>873</v>
      </c>
      <c r="C438" s="5" t="str">
        <f ca="1">IFERROR(__xludf.DUMMYFUNCTION("REGEXEXTRACT($B438, $E$2)"),"gcsu")</f>
        <v>gcsu</v>
      </c>
      <c r="E438" s="4"/>
      <c r="F438" s="4"/>
      <c r="G438" s="4"/>
      <c r="H438" s="4"/>
      <c r="I438" s="4"/>
      <c r="J438" s="4"/>
      <c r="K438" s="4"/>
      <c r="L438" s="4"/>
      <c r="M438" s="4"/>
      <c r="N438" s="4"/>
      <c r="O438" s="4"/>
      <c r="P438" s="4"/>
      <c r="Q438" s="4"/>
      <c r="R438" s="4"/>
      <c r="S438" s="4"/>
      <c r="T438" s="4"/>
      <c r="U438" s="4"/>
      <c r="V438" s="4"/>
      <c r="W438" s="4"/>
      <c r="X438" s="4"/>
      <c r="Y438" s="4"/>
      <c r="Z438" s="4"/>
    </row>
    <row r="439" spans="1:26" ht="15.75" customHeight="1" x14ac:dyDescent="0.2">
      <c r="A439" s="1" t="s">
        <v>874</v>
      </c>
      <c r="B439" s="1" t="s">
        <v>875</v>
      </c>
      <c r="C439" s="5" t="str">
        <f ca="1">IFERROR(__xludf.DUMMYFUNCTION("REGEXEXTRACT($B439, $E$2)"),"ggc")</f>
        <v>ggc</v>
      </c>
      <c r="E439" s="4"/>
      <c r="F439" s="4"/>
      <c r="G439" s="4"/>
      <c r="H439" s="4"/>
      <c r="I439" s="4"/>
      <c r="J439" s="4"/>
      <c r="K439" s="4"/>
      <c r="L439" s="4"/>
      <c r="M439" s="4"/>
      <c r="N439" s="4"/>
      <c r="O439" s="4"/>
      <c r="P439" s="4"/>
      <c r="Q439" s="4"/>
      <c r="R439" s="4"/>
      <c r="S439" s="4"/>
      <c r="T439" s="4"/>
      <c r="U439" s="4"/>
      <c r="V439" s="4"/>
      <c r="W439" s="4"/>
      <c r="X439" s="4"/>
      <c r="Y439" s="4"/>
      <c r="Z439" s="4"/>
    </row>
    <row r="440" spans="1:26" ht="15.75" customHeight="1" x14ac:dyDescent="0.2">
      <c r="A440" s="1" t="s">
        <v>876</v>
      </c>
      <c r="B440" s="1" t="s">
        <v>877</v>
      </c>
      <c r="C440" s="5" t="str">
        <f ca="1">IFERROR(__xludf.DUMMYFUNCTION("REGEXEXTRACT($B440, $E$2)"),"georgiasouthern")</f>
        <v>georgiasouthern</v>
      </c>
      <c r="E440" s="4"/>
      <c r="F440" s="4"/>
      <c r="G440" s="4"/>
      <c r="H440" s="4"/>
      <c r="I440" s="4"/>
      <c r="J440" s="4"/>
      <c r="K440" s="4"/>
      <c r="L440" s="4"/>
      <c r="M440" s="4"/>
      <c r="N440" s="4"/>
      <c r="O440" s="4"/>
      <c r="P440" s="4"/>
      <c r="Q440" s="4"/>
      <c r="R440" s="4"/>
      <c r="S440" s="4"/>
      <c r="T440" s="4"/>
      <c r="U440" s="4"/>
      <c r="V440" s="4"/>
      <c r="W440" s="4"/>
      <c r="X440" s="4"/>
      <c r="Y440" s="4"/>
      <c r="Z440" s="4"/>
    </row>
    <row r="441" spans="1:26" ht="15.75" customHeight="1" x14ac:dyDescent="0.2">
      <c r="A441" s="1" t="s">
        <v>878</v>
      </c>
      <c r="B441" s="1" t="s">
        <v>879</v>
      </c>
      <c r="C441" s="5" t="str">
        <f ca="1">IFERROR(__xludf.DUMMYFUNCTION("REGEXEXTRACT($B441, $E$2)"),"gsw")</f>
        <v>gsw</v>
      </c>
      <c r="E441" s="4"/>
      <c r="F441" s="4"/>
      <c r="G441" s="4"/>
      <c r="H441" s="4"/>
      <c r="I441" s="4"/>
      <c r="J441" s="4"/>
      <c r="K441" s="4"/>
      <c r="L441" s="4"/>
      <c r="M441" s="4"/>
      <c r="N441" s="4"/>
      <c r="O441" s="4"/>
      <c r="P441" s="4"/>
      <c r="Q441" s="4"/>
      <c r="R441" s="4"/>
      <c r="S441" s="4"/>
      <c r="T441" s="4"/>
      <c r="U441" s="4"/>
      <c r="V441" s="4"/>
      <c r="W441" s="4"/>
      <c r="X441" s="4"/>
      <c r="Y441" s="4"/>
      <c r="Z441" s="4"/>
    </row>
    <row r="442" spans="1:26" ht="15.75" customHeight="1" x14ac:dyDescent="0.2">
      <c r="A442" s="1" t="s">
        <v>880</v>
      </c>
      <c r="B442" s="1" t="s">
        <v>881</v>
      </c>
      <c r="C442" s="5" t="str">
        <f ca="1">IFERROR(__xludf.DUMMYFUNCTION("REGEXEXTRACT($B442, $E$2)"),"gsu")</f>
        <v>gsu</v>
      </c>
      <c r="E442" s="4"/>
      <c r="F442" s="4"/>
      <c r="G442" s="4"/>
      <c r="H442" s="4"/>
      <c r="I442" s="4"/>
      <c r="J442" s="4"/>
      <c r="K442" s="4"/>
      <c r="L442" s="4"/>
      <c r="M442" s="4"/>
      <c r="N442" s="4"/>
      <c r="O442" s="4"/>
      <c r="P442" s="4"/>
      <c r="Q442" s="4"/>
      <c r="R442" s="4"/>
      <c r="S442" s="4"/>
      <c r="T442" s="4"/>
      <c r="U442" s="4"/>
      <c r="V442" s="4"/>
      <c r="W442" s="4"/>
      <c r="X442" s="4"/>
      <c r="Y442" s="4"/>
      <c r="Z442" s="4"/>
    </row>
    <row r="443" spans="1:26" ht="15.75" customHeight="1" x14ac:dyDescent="0.2">
      <c r="A443" s="1" t="s">
        <v>882</v>
      </c>
      <c r="B443" s="1" t="s">
        <v>883</v>
      </c>
      <c r="C443" s="5" t="str">
        <f ca="1">IFERROR(__xludf.DUMMYFUNCTION("REGEXEXTRACT($B443, $E$2)"),"georgian")</f>
        <v>georgian</v>
      </c>
      <c r="E443" s="4"/>
      <c r="F443" s="4"/>
      <c r="G443" s="4"/>
      <c r="H443" s="4"/>
      <c r="I443" s="4"/>
      <c r="J443" s="4"/>
      <c r="K443" s="4"/>
      <c r="L443" s="4"/>
      <c r="M443" s="4"/>
      <c r="N443" s="4"/>
      <c r="O443" s="4"/>
      <c r="P443" s="4"/>
      <c r="Q443" s="4"/>
      <c r="R443" s="4"/>
      <c r="S443" s="4"/>
      <c r="T443" s="4"/>
      <c r="U443" s="4"/>
      <c r="V443" s="4"/>
      <c r="W443" s="4"/>
      <c r="X443" s="4"/>
      <c r="Y443" s="4"/>
      <c r="Z443" s="4"/>
    </row>
    <row r="444" spans="1:26" ht="15.75" customHeight="1" x14ac:dyDescent="0.2">
      <c r="A444" s="1" t="s">
        <v>884</v>
      </c>
      <c r="B444" s="1" t="s">
        <v>885</v>
      </c>
      <c r="C444" s="5" t="str">
        <f ca="1">IFERROR(__xludf.DUMMYFUNCTION("REGEXEXTRACT($B444, $E$2)"),"gettysburg")</f>
        <v>gettysburg</v>
      </c>
      <c r="E444" s="4"/>
      <c r="F444" s="4"/>
      <c r="G444" s="4"/>
      <c r="H444" s="4"/>
      <c r="I444" s="4"/>
      <c r="J444" s="4"/>
      <c r="K444" s="4"/>
      <c r="L444" s="4"/>
      <c r="M444" s="4"/>
      <c r="N444" s="4"/>
      <c r="O444" s="4"/>
      <c r="P444" s="4"/>
      <c r="Q444" s="4"/>
      <c r="R444" s="4"/>
      <c r="S444" s="4"/>
      <c r="T444" s="4"/>
      <c r="U444" s="4"/>
      <c r="V444" s="4"/>
      <c r="W444" s="4"/>
      <c r="X444" s="4"/>
      <c r="Y444" s="4"/>
      <c r="Z444" s="4"/>
    </row>
    <row r="445" spans="1:26" ht="15.75" customHeight="1" x14ac:dyDescent="0.2">
      <c r="A445" s="1" t="s">
        <v>886</v>
      </c>
      <c r="B445" s="1" t="s">
        <v>887</v>
      </c>
      <c r="C445" s="5" t="str">
        <f ca="1">IFERROR(__xludf.DUMMYFUNCTION("REGEXEXTRACT($B445, $E$2)"),"glenville")</f>
        <v>glenville</v>
      </c>
      <c r="E445" s="4"/>
      <c r="F445" s="4"/>
      <c r="G445" s="4"/>
      <c r="H445" s="4"/>
      <c r="I445" s="4"/>
      <c r="J445" s="4"/>
      <c r="K445" s="4"/>
      <c r="L445" s="4"/>
      <c r="M445" s="4"/>
      <c r="N445" s="4"/>
      <c r="O445" s="4"/>
      <c r="P445" s="4"/>
      <c r="Q445" s="4"/>
      <c r="R445" s="4"/>
      <c r="S445" s="4"/>
      <c r="T445" s="4"/>
      <c r="U445" s="4"/>
      <c r="V445" s="4"/>
      <c r="W445" s="4"/>
      <c r="X445" s="4"/>
      <c r="Y445" s="4"/>
      <c r="Z445" s="4"/>
    </row>
    <row r="446" spans="1:26" ht="15.75" customHeight="1" x14ac:dyDescent="0.2">
      <c r="A446" s="1" t="s">
        <v>888</v>
      </c>
      <c r="B446" s="1" t="s">
        <v>889</v>
      </c>
      <c r="C446" s="5" t="str">
        <f ca="1">IFERROR(__xludf.DUMMYFUNCTION("REGEXEXTRACT($B446, $E$2)"),"goddard")</f>
        <v>goddard</v>
      </c>
      <c r="E446" s="4"/>
      <c r="F446" s="4"/>
      <c r="G446" s="4"/>
      <c r="H446" s="4"/>
      <c r="I446" s="4"/>
      <c r="J446" s="4"/>
      <c r="K446" s="4"/>
      <c r="L446" s="4"/>
      <c r="M446" s="4"/>
      <c r="N446" s="4"/>
      <c r="O446" s="4"/>
      <c r="P446" s="4"/>
      <c r="Q446" s="4"/>
      <c r="R446" s="4"/>
      <c r="S446" s="4"/>
      <c r="T446" s="4"/>
      <c r="U446" s="4"/>
      <c r="V446" s="4"/>
      <c r="W446" s="4"/>
      <c r="X446" s="4"/>
      <c r="Y446" s="4"/>
      <c r="Z446" s="4"/>
    </row>
    <row r="447" spans="1:26" ht="15.75" customHeight="1" x14ac:dyDescent="0.2">
      <c r="A447" s="1" t="s">
        <v>890</v>
      </c>
      <c r="B447" s="1" t="s">
        <v>891</v>
      </c>
      <c r="C447" s="5" t="str">
        <f ca="1">IFERROR(__xludf.DUMMYFUNCTION("REGEXEXTRACT($B447, $E$2)"),"gbc")</f>
        <v>gbc</v>
      </c>
      <c r="E447" s="4"/>
      <c r="F447" s="4"/>
      <c r="G447" s="4"/>
      <c r="H447" s="4"/>
      <c r="I447" s="4"/>
      <c r="J447" s="4"/>
      <c r="K447" s="4"/>
      <c r="L447" s="4"/>
      <c r="M447" s="4"/>
      <c r="N447" s="4"/>
      <c r="O447" s="4"/>
      <c r="P447" s="4"/>
      <c r="Q447" s="4"/>
      <c r="R447" s="4"/>
      <c r="S447" s="4"/>
      <c r="T447" s="4"/>
      <c r="U447" s="4"/>
      <c r="V447" s="4"/>
      <c r="W447" s="4"/>
      <c r="X447" s="4"/>
      <c r="Y447" s="4"/>
      <c r="Z447" s="4"/>
    </row>
    <row r="448" spans="1:26" ht="15.75" customHeight="1" x14ac:dyDescent="0.2">
      <c r="A448" s="1" t="s">
        <v>892</v>
      </c>
      <c r="B448" s="1" t="s">
        <v>893</v>
      </c>
      <c r="C448" s="5" t="str">
        <f ca="1">IFERROR(__xludf.DUMMYFUNCTION("REGEXEXTRACT($B448, $E$2)"),"gonzaga")</f>
        <v>gonzaga</v>
      </c>
      <c r="E448" s="4"/>
      <c r="F448" s="4"/>
      <c r="G448" s="4"/>
      <c r="H448" s="4"/>
      <c r="I448" s="4"/>
      <c r="J448" s="4"/>
      <c r="K448" s="4"/>
      <c r="L448" s="4"/>
      <c r="M448" s="4"/>
      <c r="N448" s="4"/>
      <c r="O448" s="4"/>
      <c r="P448" s="4"/>
      <c r="Q448" s="4"/>
      <c r="R448" s="4"/>
      <c r="S448" s="4"/>
      <c r="T448" s="4"/>
      <c r="U448" s="4"/>
      <c r="V448" s="4"/>
      <c r="W448" s="4"/>
      <c r="X448" s="4"/>
      <c r="Y448" s="4"/>
      <c r="Z448" s="4"/>
    </row>
    <row r="449" spans="1:26" ht="15.75" customHeight="1" x14ac:dyDescent="0.2">
      <c r="A449" s="1" t="s">
        <v>894</v>
      </c>
      <c r="B449" s="1" t="s">
        <v>895</v>
      </c>
      <c r="C449" s="5" t="str">
        <f ca="1">IFERROR(__xludf.DUMMYFUNCTION("REGEXEXTRACT($B449, $E$2)"),"gordon")</f>
        <v>gordon</v>
      </c>
      <c r="E449" s="4"/>
      <c r="F449" s="4"/>
      <c r="G449" s="4"/>
      <c r="H449" s="4"/>
      <c r="I449" s="4"/>
      <c r="J449" s="4"/>
      <c r="K449" s="4"/>
      <c r="L449" s="4"/>
      <c r="M449" s="4"/>
      <c r="N449" s="4"/>
      <c r="O449" s="4"/>
      <c r="P449" s="4"/>
      <c r="Q449" s="4"/>
      <c r="R449" s="4"/>
      <c r="S449" s="4"/>
      <c r="T449" s="4"/>
      <c r="U449" s="4"/>
      <c r="V449" s="4"/>
      <c r="W449" s="4"/>
      <c r="X449" s="4"/>
      <c r="Y449" s="4"/>
      <c r="Z449" s="4"/>
    </row>
    <row r="450" spans="1:26" ht="15.75" customHeight="1" x14ac:dyDescent="0.2">
      <c r="A450" s="1" t="s">
        <v>896</v>
      </c>
      <c r="B450" s="1" t="s">
        <v>897</v>
      </c>
      <c r="C450" s="5" t="str">
        <f ca="1">IFERROR(__xludf.DUMMYFUNCTION("REGEXEXTRACT($B450, $E$2)"),"gordonstate")</f>
        <v>gordonstate</v>
      </c>
      <c r="E450" s="4"/>
      <c r="F450" s="4"/>
      <c r="G450" s="4"/>
      <c r="H450" s="4"/>
      <c r="I450" s="4"/>
      <c r="J450" s="4"/>
      <c r="K450" s="4"/>
      <c r="L450" s="4"/>
      <c r="M450" s="4"/>
      <c r="N450" s="4"/>
      <c r="O450" s="4"/>
      <c r="P450" s="4"/>
      <c r="Q450" s="4"/>
      <c r="R450" s="4"/>
      <c r="S450" s="4"/>
      <c r="T450" s="4"/>
      <c r="U450" s="4"/>
      <c r="V450" s="4"/>
      <c r="W450" s="4"/>
      <c r="X450" s="4"/>
      <c r="Y450" s="4"/>
      <c r="Z450" s="4"/>
    </row>
    <row r="451" spans="1:26" ht="15.75" customHeight="1" x14ac:dyDescent="0.2">
      <c r="A451" s="1" t="s">
        <v>898</v>
      </c>
      <c r="B451" s="1" t="s">
        <v>899</v>
      </c>
      <c r="C451" s="5" t="str">
        <f ca="1">IFERROR(__xludf.DUMMYFUNCTION("REGEXEXTRACT($B451, $E$2)"),"goshen")</f>
        <v>goshen</v>
      </c>
      <c r="E451" s="4"/>
      <c r="F451" s="4"/>
      <c r="G451" s="4"/>
      <c r="H451" s="4"/>
      <c r="I451" s="4"/>
      <c r="J451" s="4"/>
      <c r="K451" s="4"/>
      <c r="L451" s="4"/>
      <c r="M451" s="4"/>
      <c r="N451" s="4"/>
      <c r="O451" s="4"/>
      <c r="P451" s="4"/>
      <c r="Q451" s="4"/>
      <c r="R451" s="4"/>
      <c r="S451" s="4"/>
      <c r="T451" s="4"/>
      <c r="U451" s="4"/>
      <c r="V451" s="4"/>
      <c r="W451" s="4"/>
      <c r="X451" s="4"/>
      <c r="Y451" s="4"/>
      <c r="Z451" s="4"/>
    </row>
    <row r="452" spans="1:26" ht="15.75" customHeight="1" x14ac:dyDescent="0.2">
      <c r="A452" s="1" t="s">
        <v>900</v>
      </c>
      <c r="B452" s="1" t="s">
        <v>901</v>
      </c>
      <c r="C452" s="5" t="str">
        <f ca="1">IFERROR(__xludf.DUMMYFUNCTION("REGEXEXTRACT($B452, $E$2)"),"goucher")</f>
        <v>goucher</v>
      </c>
      <c r="E452" s="4"/>
      <c r="F452" s="4"/>
      <c r="G452" s="4"/>
      <c r="H452" s="4"/>
      <c r="I452" s="4"/>
      <c r="J452" s="4"/>
      <c r="K452" s="4"/>
      <c r="L452" s="4"/>
      <c r="M452" s="4"/>
      <c r="N452" s="4"/>
      <c r="O452" s="4"/>
      <c r="P452" s="4"/>
      <c r="Q452" s="4"/>
      <c r="R452" s="4"/>
      <c r="S452" s="4"/>
      <c r="T452" s="4"/>
      <c r="U452" s="4"/>
      <c r="V452" s="4"/>
      <c r="W452" s="4"/>
      <c r="X452" s="4"/>
      <c r="Y452" s="4"/>
      <c r="Z452" s="4"/>
    </row>
    <row r="453" spans="1:26" ht="15.75" customHeight="1" x14ac:dyDescent="0.2">
      <c r="A453" s="1" t="s">
        <v>902</v>
      </c>
      <c r="B453" s="1" t="s">
        <v>903</v>
      </c>
      <c r="C453" s="5" t="str">
        <f ca="1">IFERROR(__xludf.DUMMYFUNCTION("REGEXEXTRACT($B453, $E$2)"),"govst")</f>
        <v>govst</v>
      </c>
      <c r="E453" s="4"/>
      <c r="F453" s="4"/>
      <c r="G453" s="4"/>
      <c r="H453" s="4"/>
      <c r="I453" s="4"/>
      <c r="J453" s="4"/>
      <c r="K453" s="4"/>
      <c r="L453" s="4"/>
      <c r="M453" s="4"/>
      <c r="N453" s="4"/>
      <c r="O453" s="4"/>
      <c r="P453" s="4"/>
      <c r="Q453" s="4"/>
      <c r="R453" s="4"/>
      <c r="S453" s="4"/>
      <c r="T453" s="4"/>
      <c r="U453" s="4"/>
      <c r="V453" s="4"/>
      <c r="W453" s="4"/>
      <c r="X453" s="4"/>
      <c r="Y453" s="4"/>
      <c r="Z453" s="4"/>
    </row>
    <row r="454" spans="1:26" ht="15.75" customHeight="1" x14ac:dyDescent="0.2">
      <c r="A454" s="1" t="s">
        <v>904</v>
      </c>
      <c r="B454" s="1" t="s">
        <v>905</v>
      </c>
      <c r="C454" s="5" t="str">
        <f ca="1">IFERROR(__xludf.DUMMYFUNCTION("REGEXEXTRACT($B454, $E$2)"),"gbcol")</f>
        <v>gbcol</v>
      </c>
      <c r="E454" s="4"/>
      <c r="F454" s="4"/>
      <c r="G454" s="4"/>
      <c r="H454" s="4"/>
      <c r="I454" s="4"/>
      <c r="J454" s="4"/>
      <c r="K454" s="4"/>
      <c r="L454" s="4"/>
      <c r="M454" s="4"/>
      <c r="N454" s="4"/>
      <c r="O454" s="4"/>
      <c r="P454" s="4"/>
      <c r="Q454" s="4"/>
      <c r="R454" s="4"/>
      <c r="S454" s="4"/>
      <c r="T454" s="4"/>
      <c r="U454" s="4"/>
      <c r="V454" s="4"/>
      <c r="W454" s="4"/>
      <c r="X454" s="4"/>
      <c r="Y454" s="4"/>
      <c r="Z454" s="4"/>
    </row>
    <row r="455" spans="1:26" ht="15.75" customHeight="1" x14ac:dyDescent="0.2">
      <c r="A455" s="1" t="s">
        <v>906</v>
      </c>
      <c r="B455" s="1" t="s">
        <v>907</v>
      </c>
      <c r="C455" s="5" t="str">
        <f ca="1">IFERROR(__xludf.DUMMYFUNCTION("REGEXEXTRACT($B455, $E$2)"),"grace")</f>
        <v>grace</v>
      </c>
      <c r="E455" s="4"/>
      <c r="F455" s="4"/>
      <c r="G455" s="4"/>
      <c r="H455" s="4"/>
      <c r="I455" s="4"/>
      <c r="J455" s="4"/>
      <c r="K455" s="4"/>
      <c r="L455" s="4"/>
      <c r="M455" s="4"/>
      <c r="N455" s="4"/>
      <c r="O455" s="4"/>
      <c r="P455" s="4"/>
      <c r="Q455" s="4"/>
      <c r="R455" s="4"/>
      <c r="S455" s="4"/>
      <c r="T455" s="4"/>
      <c r="U455" s="4"/>
      <c r="V455" s="4"/>
      <c r="W455" s="4"/>
      <c r="X455" s="4"/>
      <c r="Y455" s="4"/>
      <c r="Z455" s="4"/>
    </row>
    <row r="456" spans="1:26" ht="15.75" customHeight="1" x14ac:dyDescent="0.2">
      <c r="A456" s="1" t="s">
        <v>908</v>
      </c>
      <c r="B456" s="1" t="s">
        <v>909</v>
      </c>
      <c r="C456" s="5" t="str">
        <f ca="1">IFERROR(__xludf.DUMMYFUNCTION("REGEXEXTRACT($B456, $E$2)"),"graceland")</f>
        <v>graceland</v>
      </c>
      <c r="E456" s="4"/>
      <c r="F456" s="4"/>
      <c r="G456" s="4"/>
      <c r="H456" s="4"/>
      <c r="I456" s="4"/>
      <c r="J456" s="4"/>
      <c r="K456" s="4"/>
      <c r="L456" s="4"/>
      <c r="M456" s="4"/>
      <c r="N456" s="4"/>
      <c r="O456" s="4"/>
      <c r="P456" s="4"/>
      <c r="Q456" s="4"/>
      <c r="R456" s="4"/>
      <c r="S456" s="4"/>
      <c r="T456" s="4"/>
      <c r="U456" s="4"/>
      <c r="V456" s="4"/>
      <c r="W456" s="4"/>
      <c r="X456" s="4"/>
      <c r="Y456" s="4"/>
      <c r="Z456" s="4"/>
    </row>
    <row r="457" spans="1:26" ht="15.75" customHeight="1" x14ac:dyDescent="0.2">
      <c r="A457" s="1" t="s">
        <v>910</v>
      </c>
      <c r="B457" s="1" t="s">
        <v>911</v>
      </c>
      <c r="C457" s="5" t="str">
        <f ca="1">IFERROR(__xludf.DUMMYFUNCTION("REGEXEXTRACT($B457, $E$2)"),"gram")</f>
        <v>gram</v>
      </c>
      <c r="E457" s="4"/>
      <c r="F457" s="4"/>
      <c r="G457" s="4"/>
      <c r="H457" s="4"/>
      <c r="I457" s="4"/>
      <c r="J457" s="4"/>
      <c r="K457" s="4"/>
      <c r="L457" s="4"/>
      <c r="M457" s="4"/>
      <c r="N457" s="4"/>
      <c r="O457" s="4"/>
      <c r="P457" s="4"/>
      <c r="Q457" s="4"/>
      <c r="R457" s="4"/>
      <c r="S457" s="4"/>
      <c r="T457" s="4"/>
      <c r="U457" s="4"/>
      <c r="V457" s="4"/>
      <c r="W457" s="4"/>
      <c r="X457" s="4"/>
      <c r="Y457" s="4"/>
      <c r="Z457" s="4"/>
    </row>
    <row r="458" spans="1:26" ht="15.75" customHeight="1" x14ac:dyDescent="0.2">
      <c r="A458" s="1" t="s">
        <v>912</v>
      </c>
      <c r="B458" s="1" t="s">
        <v>913</v>
      </c>
      <c r="C458" s="5" t="str">
        <f ca="1">IFERROR(__xludf.DUMMYFUNCTION("REGEXEXTRACT($B458, $E$2)"),"gcu")</f>
        <v>gcu</v>
      </c>
      <c r="E458" s="4"/>
      <c r="F458" s="4"/>
      <c r="G458" s="4"/>
      <c r="H458" s="4"/>
      <c r="I458" s="4"/>
      <c r="J458" s="4"/>
      <c r="K458" s="4"/>
      <c r="L458" s="4"/>
      <c r="M458" s="4"/>
      <c r="N458" s="4"/>
      <c r="O458" s="4"/>
      <c r="P458" s="4"/>
      <c r="Q458" s="4"/>
      <c r="R458" s="4"/>
      <c r="S458" s="4"/>
      <c r="T458" s="4"/>
      <c r="U458" s="4"/>
      <c r="V458" s="4"/>
      <c r="W458" s="4"/>
      <c r="X458" s="4"/>
      <c r="Y458" s="4"/>
      <c r="Z458" s="4"/>
    </row>
    <row r="459" spans="1:26" ht="15.75" customHeight="1" x14ac:dyDescent="0.2">
      <c r="A459" s="1" t="s">
        <v>914</v>
      </c>
      <c r="B459" s="1" t="s">
        <v>915</v>
      </c>
      <c r="C459" s="5" t="str">
        <f ca="1">IFERROR(__xludf.DUMMYFUNCTION("REGEXEXTRACT($B459, $E$2)"),"gvsu")</f>
        <v>gvsu</v>
      </c>
      <c r="E459" s="4"/>
      <c r="F459" s="4"/>
      <c r="G459" s="4"/>
      <c r="H459" s="4"/>
      <c r="I459" s="4"/>
      <c r="J459" s="4"/>
      <c r="K459" s="4"/>
      <c r="L459" s="4"/>
      <c r="M459" s="4"/>
      <c r="N459" s="4"/>
      <c r="O459" s="4"/>
      <c r="P459" s="4"/>
      <c r="Q459" s="4"/>
      <c r="R459" s="4"/>
      <c r="S459" s="4"/>
      <c r="T459" s="4"/>
      <c r="U459" s="4"/>
      <c r="V459" s="4"/>
      <c r="W459" s="4"/>
      <c r="X459" s="4"/>
      <c r="Y459" s="4"/>
      <c r="Z459" s="4"/>
    </row>
    <row r="460" spans="1:26" ht="15.75" customHeight="1" x14ac:dyDescent="0.2">
      <c r="A460" s="1" t="s">
        <v>916</v>
      </c>
      <c r="B460" s="1" t="s">
        <v>917</v>
      </c>
      <c r="C460" s="5" t="str">
        <f ca="1">IFERROR(__xludf.DUMMYFUNCTION("REGEXEXTRACT($B460, $E$2)"),"grandview")</f>
        <v>grandview</v>
      </c>
      <c r="E460" s="4"/>
      <c r="F460" s="4"/>
      <c r="G460" s="4"/>
      <c r="H460" s="4"/>
      <c r="I460" s="4"/>
      <c r="J460" s="4"/>
      <c r="K460" s="4"/>
      <c r="L460" s="4"/>
      <c r="M460" s="4"/>
      <c r="N460" s="4"/>
      <c r="O460" s="4"/>
      <c r="P460" s="4"/>
      <c r="Q460" s="4"/>
      <c r="R460" s="4"/>
      <c r="S460" s="4"/>
      <c r="T460" s="4"/>
      <c r="U460" s="4"/>
      <c r="V460" s="4"/>
      <c r="W460" s="4"/>
      <c r="X460" s="4"/>
      <c r="Y460" s="4"/>
      <c r="Z460" s="4"/>
    </row>
    <row r="461" spans="1:26" ht="15.75" customHeight="1" x14ac:dyDescent="0.2">
      <c r="A461" s="1" t="s">
        <v>918</v>
      </c>
      <c r="B461" s="1" t="s">
        <v>919</v>
      </c>
      <c r="C461" s="5" t="str">
        <f ca="1">IFERROR(__xludf.DUMMYFUNCTION("REGEXEXTRACT($B461, $E$2)"),"granite")</f>
        <v>granite</v>
      </c>
      <c r="E461" s="4"/>
      <c r="F461" s="4"/>
      <c r="G461" s="4"/>
      <c r="H461" s="4"/>
      <c r="I461" s="4"/>
      <c r="J461" s="4"/>
      <c r="K461" s="4"/>
      <c r="L461" s="4"/>
      <c r="M461" s="4"/>
      <c r="N461" s="4"/>
      <c r="O461" s="4"/>
      <c r="P461" s="4"/>
      <c r="Q461" s="4"/>
      <c r="R461" s="4"/>
      <c r="S461" s="4"/>
      <c r="T461" s="4"/>
      <c r="U461" s="4"/>
      <c r="V461" s="4"/>
      <c r="W461" s="4"/>
      <c r="X461" s="4"/>
      <c r="Y461" s="4"/>
      <c r="Z461" s="4"/>
    </row>
    <row r="462" spans="1:26" ht="15.75" customHeight="1" x14ac:dyDescent="0.2">
      <c r="A462" s="1" t="s">
        <v>920</v>
      </c>
      <c r="B462" s="1" t="s">
        <v>921</v>
      </c>
      <c r="C462" s="5" t="str">
        <f ca="1">IFERROR(__xludf.DUMMYFUNCTION("REGEXEXTRACT($B462, $E$2)"),"gbcnv")</f>
        <v>gbcnv</v>
      </c>
      <c r="E462" s="4"/>
      <c r="F462" s="4"/>
      <c r="G462" s="4"/>
      <c r="H462" s="4"/>
      <c r="I462" s="4"/>
      <c r="J462" s="4"/>
      <c r="K462" s="4"/>
      <c r="L462" s="4"/>
      <c r="M462" s="4"/>
      <c r="N462" s="4"/>
      <c r="O462" s="4"/>
      <c r="P462" s="4"/>
      <c r="Q462" s="4"/>
      <c r="R462" s="4"/>
      <c r="S462" s="4"/>
      <c r="T462" s="4"/>
      <c r="U462" s="4"/>
      <c r="V462" s="4"/>
      <c r="W462" s="4"/>
      <c r="X462" s="4"/>
      <c r="Y462" s="4"/>
      <c r="Z462" s="4"/>
    </row>
    <row r="463" spans="1:26" ht="15.75" customHeight="1" x14ac:dyDescent="0.2">
      <c r="A463" s="1" t="s">
        <v>922</v>
      </c>
      <c r="B463" s="1" t="s">
        <v>923</v>
      </c>
      <c r="C463" s="5" t="str">
        <f ca="1">IFERROR(__xludf.DUMMYFUNCTION("REGEXEXTRACT($B463, $E$2)"),"greenmtn")</f>
        <v>greenmtn</v>
      </c>
      <c r="E463" s="4"/>
      <c r="F463" s="4"/>
      <c r="G463" s="4"/>
      <c r="H463" s="4"/>
      <c r="I463" s="4"/>
      <c r="J463" s="4"/>
      <c r="K463" s="4"/>
      <c r="L463" s="4"/>
      <c r="M463" s="4"/>
      <c r="N463" s="4"/>
      <c r="O463" s="4"/>
      <c r="P463" s="4"/>
      <c r="Q463" s="4"/>
      <c r="R463" s="4"/>
      <c r="S463" s="4"/>
      <c r="T463" s="4"/>
      <c r="U463" s="4"/>
      <c r="V463" s="4"/>
      <c r="W463" s="4"/>
      <c r="X463" s="4"/>
      <c r="Y463" s="4"/>
      <c r="Z463" s="4"/>
    </row>
    <row r="464" spans="1:26" ht="15.75" customHeight="1" x14ac:dyDescent="0.2">
      <c r="A464" s="1" t="s">
        <v>924</v>
      </c>
      <c r="B464" s="1" t="s">
        <v>925</v>
      </c>
      <c r="C464" s="5" t="str">
        <f ca="1">IFERROR(__xludf.DUMMYFUNCTION("REGEXEXTRACT($B464, $E$2)"),"greensboro")</f>
        <v>greensboro</v>
      </c>
      <c r="E464" s="4"/>
      <c r="F464" s="4"/>
      <c r="G464" s="4"/>
      <c r="H464" s="4"/>
      <c r="I464" s="4"/>
      <c r="J464" s="4"/>
      <c r="K464" s="4"/>
      <c r="L464" s="4"/>
      <c r="M464" s="4"/>
      <c r="N464" s="4"/>
      <c r="O464" s="4"/>
      <c r="P464" s="4"/>
      <c r="Q464" s="4"/>
      <c r="R464" s="4"/>
      <c r="S464" s="4"/>
      <c r="T464" s="4"/>
      <c r="U464" s="4"/>
      <c r="V464" s="4"/>
      <c r="W464" s="4"/>
      <c r="X464" s="4"/>
      <c r="Y464" s="4"/>
      <c r="Z464" s="4"/>
    </row>
    <row r="465" spans="1:26" ht="15.75" customHeight="1" x14ac:dyDescent="0.2">
      <c r="A465" s="1" t="s">
        <v>926</v>
      </c>
      <c r="B465" s="1" t="s">
        <v>927</v>
      </c>
      <c r="C465" s="5" t="str">
        <f ca="1">IFERROR(__xludf.DUMMYFUNCTION("REGEXEXTRACT($B465, $E$2)"),"greenville")</f>
        <v>greenville</v>
      </c>
      <c r="E465" s="4"/>
      <c r="F465" s="4"/>
      <c r="G465" s="4"/>
      <c r="H465" s="4"/>
      <c r="I465" s="4"/>
      <c r="J465" s="4"/>
      <c r="K465" s="4"/>
      <c r="L465" s="4"/>
      <c r="M465" s="4"/>
      <c r="N465" s="4"/>
      <c r="O465" s="4"/>
      <c r="P465" s="4"/>
      <c r="Q465" s="4"/>
      <c r="R465" s="4"/>
      <c r="S465" s="4"/>
      <c r="T465" s="4"/>
      <c r="U465" s="4"/>
      <c r="V465" s="4"/>
      <c r="W465" s="4"/>
      <c r="X465" s="4"/>
      <c r="Y465" s="4"/>
      <c r="Z465" s="4"/>
    </row>
    <row r="466" spans="1:26" ht="15.75" customHeight="1" x14ac:dyDescent="0.2">
      <c r="A466" s="1" t="s">
        <v>928</v>
      </c>
      <c r="B466" s="1" t="s">
        <v>929</v>
      </c>
      <c r="C466" s="5" t="str">
        <f ca="1">IFERROR(__xludf.DUMMYFUNCTION("REGEXEXTRACT($B466, $E$2)"),"grinnell")</f>
        <v>grinnell</v>
      </c>
      <c r="E466" s="4"/>
      <c r="F466" s="4"/>
      <c r="G466" s="4"/>
      <c r="H466" s="4"/>
      <c r="I466" s="4"/>
      <c r="J466" s="4"/>
      <c r="K466" s="4"/>
      <c r="L466" s="4"/>
      <c r="M466" s="4"/>
      <c r="N466" s="4"/>
      <c r="O466" s="4"/>
      <c r="P466" s="4"/>
      <c r="Q466" s="4"/>
      <c r="R466" s="4"/>
      <c r="S466" s="4"/>
      <c r="T466" s="4"/>
      <c r="U466" s="4"/>
      <c r="V466" s="4"/>
      <c r="W466" s="4"/>
      <c r="X466" s="4"/>
      <c r="Y466" s="4"/>
      <c r="Z466" s="4"/>
    </row>
    <row r="467" spans="1:26" ht="15.75" customHeight="1" x14ac:dyDescent="0.2">
      <c r="A467" s="1" t="s">
        <v>930</v>
      </c>
      <c r="B467" s="1" t="s">
        <v>931</v>
      </c>
      <c r="C467" s="5" t="str">
        <f ca="1">IFERROR(__xludf.DUMMYFUNCTION("REGEXEXTRACT($B467, $E$2)"),"gcc")</f>
        <v>gcc</v>
      </c>
      <c r="E467" s="4"/>
      <c r="F467" s="4"/>
      <c r="G467" s="4"/>
      <c r="H467" s="4"/>
      <c r="I467" s="4"/>
      <c r="J467" s="4"/>
      <c r="K467" s="4"/>
      <c r="L467" s="4"/>
      <c r="M467" s="4"/>
      <c r="N467" s="4"/>
      <c r="O467" s="4"/>
      <c r="P467" s="4"/>
      <c r="Q467" s="4"/>
      <c r="R467" s="4"/>
      <c r="S467" s="4"/>
      <c r="T467" s="4"/>
      <c r="U467" s="4"/>
      <c r="V467" s="4"/>
      <c r="W467" s="4"/>
      <c r="X467" s="4"/>
      <c r="Y467" s="4"/>
      <c r="Z467" s="4"/>
    </row>
    <row r="468" spans="1:26" ht="15.75" customHeight="1" x14ac:dyDescent="0.2">
      <c r="A468" s="1" t="s">
        <v>932</v>
      </c>
      <c r="B468" s="1" t="s">
        <v>933</v>
      </c>
      <c r="C468" s="5" t="str">
        <f ca="1">IFERROR(__xludf.DUMMYFUNCTION("REGEXEXTRACT($B468, $E$2)"),"guilford")</f>
        <v>guilford</v>
      </c>
      <c r="E468" s="4"/>
      <c r="F468" s="4"/>
      <c r="G468" s="4"/>
      <c r="H468" s="4"/>
      <c r="I468" s="4"/>
      <c r="J468" s="4"/>
      <c r="K468" s="4"/>
      <c r="L468" s="4"/>
      <c r="M468" s="4"/>
      <c r="N468" s="4"/>
      <c r="O468" s="4"/>
      <c r="P468" s="4"/>
      <c r="Q468" s="4"/>
      <c r="R468" s="4"/>
      <c r="S468" s="4"/>
      <c r="T468" s="4"/>
      <c r="U468" s="4"/>
      <c r="V468" s="4"/>
      <c r="W468" s="4"/>
      <c r="X468" s="4"/>
      <c r="Y468" s="4"/>
      <c r="Z468" s="4"/>
    </row>
    <row r="469" spans="1:26" ht="15.75" customHeight="1" x14ac:dyDescent="0.2">
      <c r="A469" s="1" t="s">
        <v>934</v>
      </c>
      <c r="B469" s="1" t="s">
        <v>935</v>
      </c>
      <c r="C469" s="5" t="str">
        <f ca="1">IFERROR(__xludf.DUMMYFUNCTION("REGEXEXTRACT($B469, $E$2)"),"gustavus")</f>
        <v>gustavus</v>
      </c>
      <c r="E469" s="4"/>
      <c r="F469" s="4"/>
      <c r="G469" s="4"/>
      <c r="H469" s="4"/>
      <c r="I469" s="4"/>
      <c r="J469" s="4"/>
      <c r="K469" s="4"/>
      <c r="L469" s="4"/>
      <c r="M469" s="4"/>
      <c r="N469" s="4"/>
      <c r="O469" s="4"/>
      <c r="P469" s="4"/>
      <c r="Q469" s="4"/>
      <c r="R469" s="4"/>
      <c r="S469" s="4"/>
      <c r="T469" s="4"/>
      <c r="U469" s="4"/>
      <c r="V469" s="4"/>
      <c r="W469" s="4"/>
      <c r="X469" s="4"/>
      <c r="Y469" s="4"/>
      <c r="Z469" s="4"/>
    </row>
    <row r="470" spans="1:26" ht="15.75" customHeight="1" x14ac:dyDescent="0.2">
      <c r="A470" s="1" t="s">
        <v>936</v>
      </c>
      <c r="B470" s="1" t="s">
        <v>937</v>
      </c>
      <c r="C470" s="5" t="str">
        <f ca="1">IFERROR(__xludf.DUMMYFUNCTION("REGEXEXTRACT($B470, $E$2)"),"gmercyu")</f>
        <v>gmercyu</v>
      </c>
      <c r="E470" s="4"/>
      <c r="F470" s="4"/>
      <c r="G470" s="4"/>
      <c r="H470" s="4"/>
      <c r="I470" s="4"/>
      <c r="J470" s="4"/>
      <c r="K470" s="4"/>
      <c r="L470" s="4"/>
      <c r="M470" s="4"/>
      <c r="N470" s="4"/>
      <c r="O470" s="4"/>
      <c r="P470" s="4"/>
      <c r="Q470" s="4"/>
      <c r="R470" s="4"/>
      <c r="S470" s="4"/>
      <c r="T470" s="4"/>
      <c r="U470" s="4"/>
      <c r="V470" s="4"/>
      <c r="W470" s="4"/>
      <c r="X470" s="4"/>
      <c r="Y470" s="4"/>
      <c r="Z470" s="4"/>
    </row>
    <row r="471" spans="1:26" ht="15.75" customHeight="1" x14ac:dyDescent="0.2">
      <c r="A471" s="1" t="s">
        <v>938</v>
      </c>
      <c r="B471" s="1" t="s">
        <v>939</v>
      </c>
      <c r="C471" s="5" t="str">
        <f ca="1">IFERROR(__xludf.DUMMYFUNCTION("REGEXEXTRACT($B471, $E$2)"),"hamilton")</f>
        <v>hamilton</v>
      </c>
      <c r="E471" s="4"/>
      <c r="F471" s="4"/>
      <c r="G471" s="4"/>
      <c r="H471" s="4"/>
      <c r="I471" s="4"/>
      <c r="J471" s="4"/>
      <c r="K471" s="4"/>
      <c r="L471" s="4"/>
      <c r="M471" s="4"/>
      <c r="N471" s="4"/>
      <c r="O471" s="4"/>
      <c r="P471" s="4"/>
      <c r="Q471" s="4"/>
      <c r="R471" s="4"/>
      <c r="S471" s="4"/>
      <c r="T471" s="4"/>
      <c r="U471" s="4"/>
      <c r="V471" s="4"/>
      <c r="W471" s="4"/>
      <c r="X471" s="4"/>
      <c r="Y471" s="4"/>
      <c r="Z471" s="4"/>
    </row>
    <row r="472" spans="1:26" ht="15.75" customHeight="1" x14ac:dyDescent="0.2">
      <c r="A472" s="1" t="s">
        <v>940</v>
      </c>
      <c r="B472" s="1" t="s">
        <v>941</v>
      </c>
      <c r="C472" s="5" t="str">
        <f ca="1">IFERROR(__xludf.DUMMYFUNCTION("REGEXEXTRACT($B472, $E$2)"),"hamline")</f>
        <v>hamline</v>
      </c>
      <c r="E472" s="4"/>
      <c r="F472" s="4"/>
      <c r="G472" s="4"/>
      <c r="H472" s="4"/>
      <c r="I472" s="4"/>
      <c r="J472" s="4"/>
      <c r="K472" s="4"/>
      <c r="L472" s="4"/>
      <c r="M472" s="4"/>
      <c r="N472" s="4"/>
      <c r="O472" s="4"/>
      <c r="P472" s="4"/>
      <c r="Q472" s="4"/>
      <c r="R472" s="4"/>
      <c r="S472" s="4"/>
      <c r="T472" s="4"/>
      <c r="U472" s="4"/>
      <c r="V472" s="4"/>
      <c r="W472" s="4"/>
      <c r="X472" s="4"/>
      <c r="Y472" s="4"/>
      <c r="Z472" s="4"/>
    </row>
    <row r="473" spans="1:26" ht="15.75" customHeight="1" x14ac:dyDescent="0.2">
      <c r="A473" s="1" t="s">
        <v>942</v>
      </c>
      <c r="B473" s="1" t="s">
        <v>943</v>
      </c>
      <c r="C473" s="5" t="str">
        <f ca="1">IFERROR(__xludf.DUMMYFUNCTION("REGEXEXTRACT($B473, $E$2)"),"hsc")</f>
        <v>hsc</v>
      </c>
      <c r="E473" s="4"/>
      <c r="F473" s="4"/>
      <c r="G473" s="4"/>
      <c r="H473" s="4"/>
      <c r="I473" s="4"/>
      <c r="J473" s="4"/>
      <c r="K473" s="4"/>
      <c r="L473" s="4"/>
      <c r="M473" s="4"/>
      <c r="N473" s="4"/>
      <c r="O473" s="4"/>
      <c r="P473" s="4"/>
      <c r="Q473" s="4"/>
      <c r="R473" s="4"/>
      <c r="S473" s="4"/>
      <c r="T473" s="4"/>
      <c r="U473" s="4"/>
      <c r="V473" s="4"/>
      <c r="W473" s="4"/>
      <c r="X473" s="4"/>
      <c r="Y473" s="4"/>
      <c r="Z473" s="4"/>
    </row>
    <row r="474" spans="1:26" ht="15.75" customHeight="1" x14ac:dyDescent="0.2">
      <c r="A474" s="1" t="s">
        <v>944</v>
      </c>
      <c r="B474" s="1" t="s">
        <v>945</v>
      </c>
      <c r="C474" s="5" t="str">
        <f ca="1">IFERROR(__xludf.DUMMYFUNCTION("REGEXEXTRACT($B474, $E$2)"),"hampshire")</f>
        <v>hampshire</v>
      </c>
      <c r="E474" s="4"/>
      <c r="F474" s="4"/>
      <c r="G474" s="4"/>
      <c r="H474" s="4"/>
      <c r="I474" s="4"/>
      <c r="J474" s="4"/>
      <c r="K474" s="4"/>
      <c r="L474" s="4"/>
      <c r="M474" s="4"/>
      <c r="N474" s="4"/>
      <c r="O474" s="4"/>
      <c r="P474" s="4"/>
      <c r="Q474" s="4"/>
      <c r="R474" s="4"/>
      <c r="S474" s="4"/>
      <c r="T474" s="4"/>
      <c r="U474" s="4"/>
      <c r="V474" s="4"/>
      <c r="W474" s="4"/>
      <c r="X474" s="4"/>
      <c r="Y474" s="4"/>
      <c r="Z474" s="4"/>
    </row>
    <row r="475" spans="1:26" ht="15.75" customHeight="1" x14ac:dyDescent="0.2">
      <c r="A475" s="1" t="s">
        <v>946</v>
      </c>
      <c r="B475" s="1" t="s">
        <v>947</v>
      </c>
      <c r="C475" s="5" t="str">
        <f ca="1">IFERROR(__xludf.DUMMYFUNCTION("REGEXEXTRACT($B475, $E$2)"),"hamptonu")</f>
        <v>hamptonu</v>
      </c>
      <c r="E475" s="4"/>
      <c r="F475" s="4"/>
      <c r="G475" s="4"/>
      <c r="H475" s="4"/>
      <c r="I475" s="4"/>
      <c r="J475" s="4"/>
      <c r="K475" s="4"/>
      <c r="L475" s="4"/>
      <c r="M475" s="4"/>
      <c r="N475" s="4"/>
      <c r="O475" s="4"/>
      <c r="P475" s="4"/>
      <c r="Q475" s="4"/>
      <c r="R475" s="4"/>
      <c r="S475" s="4"/>
      <c r="T475" s="4"/>
      <c r="U475" s="4"/>
      <c r="V475" s="4"/>
      <c r="W475" s="4"/>
      <c r="X475" s="4"/>
      <c r="Y475" s="4"/>
      <c r="Z475" s="4"/>
    </row>
    <row r="476" spans="1:26" ht="15.75" customHeight="1" x14ac:dyDescent="0.2">
      <c r="A476" s="1" t="s">
        <v>948</v>
      </c>
      <c r="B476" s="1" t="s">
        <v>949</v>
      </c>
      <c r="C476" s="5" t="str">
        <f ca="1">IFERROR(__xludf.DUMMYFUNCTION("REGEXEXTRACT($B476, $E$2)"),"hlg")</f>
        <v>hlg</v>
      </c>
      <c r="E476" s="4"/>
      <c r="F476" s="4"/>
      <c r="G476" s="4"/>
      <c r="H476" s="4"/>
      <c r="I476" s="4"/>
      <c r="J476" s="4"/>
      <c r="K476" s="4"/>
      <c r="L476" s="4"/>
      <c r="M476" s="4"/>
      <c r="N476" s="4"/>
      <c r="O476" s="4"/>
      <c r="P476" s="4"/>
      <c r="Q476" s="4"/>
      <c r="R476" s="4"/>
      <c r="S476" s="4"/>
      <c r="T476" s="4"/>
      <c r="U476" s="4"/>
      <c r="V476" s="4"/>
      <c r="W476" s="4"/>
      <c r="X476" s="4"/>
      <c r="Y476" s="4"/>
      <c r="Z476" s="4"/>
    </row>
    <row r="477" spans="1:26" ht="15.75" customHeight="1" x14ac:dyDescent="0.2">
      <c r="A477" s="1" t="s">
        <v>950</v>
      </c>
      <c r="B477" s="1" t="s">
        <v>951</v>
      </c>
      <c r="C477" s="5" t="str">
        <f ca="1">IFERROR(__xludf.DUMMYFUNCTION("REGEXEXTRACT($B477, $E$2)"),"hanover")</f>
        <v>hanover</v>
      </c>
      <c r="E477" s="4"/>
      <c r="F477" s="4"/>
      <c r="G477" s="4"/>
      <c r="H477" s="4"/>
      <c r="I477" s="4"/>
      <c r="J477" s="4"/>
      <c r="K477" s="4"/>
      <c r="L477" s="4"/>
      <c r="M477" s="4"/>
      <c r="N477" s="4"/>
      <c r="O477" s="4"/>
      <c r="P477" s="4"/>
      <c r="Q477" s="4"/>
      <c r="R477" s="4"/>
      <c r="S477" s="4"/>
      <c r="T477" s="4"/>
      <c r="U477" s="4"/>
      <c r="V477" s="4"/>
      <c r="W477" s="4"/>
      <c r="X477" s="4"/>
      <c r="Y477" s="4"/>
      <c r="Z477" s="4"/>
    </row>
    <row r="478" spans="1:26" ht="15.75" customHeight="1" x14ac:dyDescent="0.2">
      <c r="A478" s="1" t="s">
        <v>952</v>
      </c>
      <c r="B478" s="1" t="s">
        <v>953</v>
      </c>
      <c r="C478" s="5" t="str">
        <f ca="1">IFERROR(__xludf.DUMMYFUNCTION("REGEXEXTRACT($B478, $E$2)"),"hsutx")</f>
        <v>hsutx</v>
      </c>
      <c r="E478" s="4"/>
      <c r="F478" s="4"/>
      <c r="G478" s="4"/>
      <c r="H478" s="4"/>
      <c r="I478" s="4"/>
      <c r="J478" s="4"/>
      <c r="K478" s="4"/>
      <c r="L478" s="4"/>
      <c r="M478" s="4"/>
      <c r="N478" s="4"/>
      <c r="O478" s="4"/>
      <c r="P478" s="4"/>
      <c r="Q478" s="4"/>
      <c r="R478" s="4"/>
      <c r="S478" s="4"/>
      <c r="T478" s="4"/>
      <c r="U478" s="4"/>
      <c r="V478" s="4"/>
      <c r="W478" s="4"/>
      <c r="X478" s="4"/>
      <c r="Y478" s="4"/>
      <c r="Z478" s="4"/>
    </row>
    <row r="479" spans="1:26" ht="15.75" customHeight="1" x14ac:dyDescent="0.2">
      <c r="A479" s="1" t="s">
        <v>954</v>
      </c>
      <c r="B479" s="1" t="s">
        <v>955</v>
      </c>
      <c r="C479" s="5" t="str">
        <f ca="1">IFERROR(__xludf.DUMMYFUNCTION("REGEXEXTRACT($B479, $E$2)"),"harding")</f>
        <v>harding</v>
      </c>
      <c r="E479" s="4"/>
      <c r="F479" s="4"/>
      <c r="G479" s="4"/>
      <c r="H479" s="4"/>
      <c r="I479" s="4"/>
      <c r="J479" s="4"/>
      <c r="K479" s="4"/>
      <c r="L479" s="4"/>
      <c r="M479" s="4"/>
      <c r="N479" s="4"/>
      <c r="O479" s="4"/>
      <c r="P479" s="4"/>
      <c r="Q479" s="4"/>
      <c r="R479" s="4"/>
      <c r="S479" s="4"/>
      <c r="T479" s="4"/>
      <c r="U479" s="4"/>
      <c r="V479" s="4"/>
      <c r="W479" s="4"/>
      <c r="X479" s="4"/>
      <c r="Y479" s="4"/>
      <c r="Z479" s="4"/>
    </row>
    <row r="480" spans="1:26" ht="15.75" customHeight="1" x14ac:dyDescent="0.2">
      <c r="A480" s="1" t="s">
        <v>956</v>
      </c>
      <c r="B480" s="1" t="s">
        <v>957</v>
      </c>
      <c r="C480" s="5" t="str">
        <f ca="1">IFERROR(__xludf.DUMMYFUNCTION("REGEXEXTRACT($B480, $E$2)"),"hssu")</f>
        <v>hssu</v>
      </c>
      <c r="E480" s="4"/>
      <c r="F480" s="4"/>
      <c r="G480" s="4"/>
      <c r="H480" s="4"/>
      <c r="I480" s="4"/>
      <c r="J480" s="4"/>
      <c r="K480" s="4"/>
      <c r="L480" s="4"/>
      <c r="M480" s="4"/>
      <c r="N480" s="4"/>
      <c r="O480" s="4"/>
      <c r="P480" s="4"/>
      <c r="Q480" s="4"/>
      <c r="R480" s="4"/>
      <c r="S480" s="4"/>
      <c r="T480" s="4"/>
      <c r="U480" s="4"/>
      <c r="V480" s="4"/>
      <c r="W480" s="4"/>
      <c r="X480" s="4"/>
      <c r="Y480" s="4"/>
      <c r="Z480" s="4"/>
    </row>
    <row r="481" spans="1:26" ht="15.75" customHeight="1" x14ac:dyDescent="0.2">
      <c r="A481" s="1" t="s">
        <v>958</v>
      </c>
      <c r="B481" s="1" t="s">
        <v>959</v>
      </c>
      <c r="C481" s="5" t="str">
        <f ca="1">IFERROR(__xludf.DUMMYFUNCTION("REGEXEXTRACT($B481, $E$2)"),"HarrisburgU")</f>
        <v>HarrisburgU</v>
      </c>
      <c r="E481" s="4"/>
      <c r="F481" s="4"/>
      <c r="G481" s="4"/>
      <c r="H481" s="4"/>
      <c r="I481" s="4"/>
      <c r="J481" s="4"/>
      <c r="K481" s="4"/>
      <c r="L481" s="4"/>
      <c r="M481" s="4"/>
      <c r="N481" s="4"/>
      <c r="O481" s="4"/>
      <c r="P481" s="4"/>
      <c r="Q481" s="4"/>
      <c r="R481" s="4"/>
      <c r="S481" s="4"/>
      <c r="T481" s="4"/>
      <c r="U481" s="4"/>
      <c r="V481" s="4"/>
      <c r="W481" s="4"/>
      <c r="X481" s="4"/>
      <c r="Y481" s="4"/>
      <c r="Z481" s="4"/>
    </row>
    <row r="482" spans="1:26" ht="15.75" customHeight="1" x14ac:dyDescent="0.2">
      <c r="A482" s="1" t="s">
        <v>960</v>
      </c>
      <c r="B482" s="1" t="s">
        <v>961</v>
      </c>
      <c r="C482" s="5" t="str">
        <f ca="1">IFERROR(__xludf.DUMMYFUNCTION("REGEXEXTRACT($B482, $E$2)"),"hartwick")</f>
        <v>hartwick</v>
      </c>
      <c r="E482" s="4"/>
      <c r="F482" s="4"/>
      <c r="G482" s="4"/>
      <c r="H482" s="4"/>
      <c r="I482" s="4"/>
      <c r="J482" s="4"/>
      <c r="K482" s="4"/>
      <c r="L482" s="4"/>
      <c r="M482" s="4"/>
      <c r="N482" s="4"/>
      <c r="O482" s="4"/>
      <c r="P482" s="4"/>
      <c r="Q482" s="4"/>
      <c r="R482" s="4"/>
      <c r="S482" s="4"/>
      <c r="T482" s="4"/>
      <c r="U482" s="4"/>
      <c r="V482" s="4"/>
      <c r="W482" s="4"/>
      <c r="X482" s="4"/>
      <c r="Y482" s="4"/>
      <c r="Z482" s="4"/>
    </row>
    <row r="483" spans="1:26" ht="15.75" customHeight="1" x14ac:dyDescent="0.2">
      <c r="A483" s="1" t="s">
        <v>962</v>
      </c>
      <c r="B483" s="1" t="s">
        <v>963</v>
      </c>
      <c r="C483" s="5" t="str">
        <f ca="1">IFERROR(__xludf.DUMMYFUNCTION("REGEXEXTRACT($B483, $E$2)"),"harvard")</f>
        <v>harvard</v>
      </c>
      <c r="E483" s="4"/>
      <c r="F483" s="4"/>
      <c r="G483" s="4"/>
      <c r="H483" s="4"/>
      <c r="I483" s="4"/>
      <c r="J483" s="4"/>
      <c r="K483" s="4"/>
      <c r="L483" s="4"/>
      <c r="M483" s="4"/>
      <c r="N483" s="4"/>
      <c r="O483" s="4"/>
      <c r="P483" s="4"/>
      <c r="Q483" s="4"/>
      <c r="R483" s="4"/>
      <c r="S483" s="4"/>
      <c r="T483" s="4"/>
      <c r="U483" s="4"/>
      <c r="V483" s="4"/>
      <c r="W483" s="4"/>
      <c r="X483" s="4"/>
      <c r="Y483" s="4"/>
      <c r="Z483" s="4"/>
    </row>
    <row r="484" spans="1:26" ht="15.75" customHeight="1" x14ac:dyDescent="0.2">
      <c r="A484" s="1" t="s">
        <v>964</v>
      </c>
      <c r="B484" s="1" t="s">
        <v>965</v>
      </c>
      <c r="C484" s="5" t="str">
        <f ca="1">IFERROR(__xludf.DUMMYFUNCTION("REGEXEXTRACT($B484, $E$2)"),"hmc")</f>
        <v>hmc</v>
      </c>
      <c r="E484" s="4"/>
      <c r="F484" s="4"/>
      <c r="G484" s="4"/>
      <c r="H484" s="4"/>
      <c r="I484" s="4"/>
      <c r="J484" s="4"/>
      <c r="K484" s="4"/>
      <c r="L484" s="4"/>
      <c r="M484" s="4"/>
      <c r="N484" s="4"/>
      <c r="O484" s="4"/>
      <c r="P484" s="4"/>
      <c r="Q484" s="4"/>
      <c r="R484" s="4"/>
      <c r="S484" s="4"/>
      <c r="T484" s="4"/>
      <c r="U484" s="4"/>
      <c r="V484" s="4"/>
      <c r="W484" s="4"/>
      <c r="X484" s="4"/>
      <c r="Y484" s="4"/>
      <c r="Z484" s="4"/>
    </row>
    <row r="485" spans="1:26" ht="15.75" customHeight="1" x14ac:dyDescent="0.2">
      <c r="A485" s="1" t="s">
        <v>966</v>
      </c>
      <c r="B485" s="1" t="s">
        <v>967</v>
      </c>
      <c r="C485" s="5" t="str">
        <f ca="1">IFERROR(__xludf.DUMMYFUNCTION("REGEXEXTRACT($B485, $E$2)"),"hastings")</f>
        <v>hastings</v>
      </c>
      <c r="E485" s="4"/>
      <c r="F485" s="4"/>
      <c r="G485" s="4"/>
      <c r="H485" s="4"/>
      <c r="I485" s="4"/>
      <c r="J485" s="4"/>
      <c r="K485" s="4"/>
      <c r="L485" s="4"/>
      <c r="M485" s="4"/>
      <c r="N485" s="4"/>
      <c r="O485" s="4"/>
      <c r="P485" s="4"/>
      <c r="Q485" s="4"/>
      <c r="R485" s="4"/>
      <c r="S485" s="4"/>
      <c r="T485" s="4"/>
      <c r="U485" s="4"/>
      <c r="V485" s="4"/>
      <c r="W485" s="4"/>
      <c r="X485" s="4"/>
      <c r="Y485" s="4"/>
      <c r="Z485" s="4"/>
    </row>
    <row r="486" spans="1:26" ht="15.75" customHeight="1" x14ac:dyDescent="0.2">
      <c r="A486" s="1" t="s">
        <v>968</v>
      </c>
      <c r="B486" s="1" t="s">
        <v>969</v>
      </c>
      <c r="C486" s="5" t="str">
        <f ca="1">IFERROR(__xludf.DUMMYFUNCTION("REGEXEXTRACT($B486, $E$2)"),"haverford")</f>
        <v>haverford</v>
      </c>
      <c r="E486" s="4"/>
      <c r="F486" s="4"/>
      <c r="G486" s="4"/>
      <c r="H486" s="4"/>
      <c r="I486" s="4"/>
      <c r="J486" s="4"/>
      <c r="K486" s="4"/>
      <c r="L486" s="4"/>
      <c r="M486" s="4"/>
      <c r="N486" s="4"/>
      <c r="O486" s="4"/>
      <c r="P486" s="4"/>
      <c r="Q486" s="4"/>
      <c r="R486" s="4"/>
      <c r="S486" s="4"/>
      <c r="T486" s="4"/>
      <c r="U486" s="4"/>
      <c r="V486" s="4"/>
      <c r="W486" s="4"/>
      <c r="X486" s="4"/>
      <c r="Y486" s="4"/>
      <c r="Z486" s="4"/>
    </row>
    <row r="487" spans="1:26" ht="15.75" customHeight="1" x14ac:dyDescent="0.2">
      <c r="A487" s="1" t="s">
        <v>970</v>
      </c>
      <c r="B487" s="1" t="s">
        <v>971</v>
      </c>
      <c r="C487" s="5" t="str">
        <f ca="1">IFERROR(__xludf.DUMMYFUNCTION("REGEXEXTRACT($B487, $E$2)"),"hpu")</f>
        <v>hpu</v>
      </c>
      <c r="E487" s="4"/>
      <c r="F487" s="4"/>
      <c r="G487" s="4"/>
      <c r="H487" s="4"/>
      <c r="I487" s="4"/>
      <c r="J487" s="4"/>
      <c r="K487" s="4"/>
      <c r="L487" s="4"/>
      <c r="M487" s="4"/>
      <c r="N487" s="4"/>
      <c r="O487" s="4"/>
      <c r="P487" s="4"/>
      <c r="Q487" s="4"/>
      <c r="R487" s="4"/>
      <c r="S487" s="4"/>
      <c r="T487" s="4"/>
      <c r="U487" s="4"/>
      <c r="V487" s="4"/>
      <c r="W487" s="4"/>
      <c r="X487" s="4"/>
      <c r="Y487" s="4"/>
      <c r="Z487" s="4"/>
    </row>
    <row r="488" spans="1:26" ht="15.75" customHeight="1" x14ac:dyDescent="0.2">
      <c r="A488" s="1" t="s">
        <v>972</v>
      </c>
      <c r="B488" s="1" t="s">
        <v>973</v>
      </c>
      <c r="C488" s="5" t="str">
        <f ca="1">IFERROR(__xludf.DUMMYFUNCTION("REGEXEXTRACT($B488, $E$2)"),"heidelberg")</f>
        <v>heidelberg</v>
      </c>
      <c r="E488" s="4"/>
      <c r="F488" s="4"/>
      <c r="G488" s="4"/>
      <c r="H488" s="4"/>
      <c r="I488" s="4"/>
      <c r="J488" s="4"/>
      <c r="K488" s="4"/>
      <c r="L488" s="4"/>
      <c r="M488" s="4"/>
      <c r="N488" s="4"/>
      <c r="O488" s="4"/>
      <c r="P488" s="4"/>
      <c r="Q488" s="4"/>
      <c r="R488" s="4"/>
      <c r="S488" s="4"/>
      <c r="T488" s="4"/>
      <c r="U488" s="4"/>
      <c r="V488" s="4"/>
      <c r="W488" s="4"/>
      <c r="X488" s="4"/>
      <c r="Y488" s="4"/>
      <c r="Z488" s="4"/>
    </row>
    <row r="489" spans="1:26" ht="15.75" customHeight="1" x14ac:dyDescent="0.2">
      <c r="A489" s="1" t="s">
        <v>974</v>
      </c>
      <c r="B489" s="1" t="s">
        <v>975</v>
      </c>
      <c r="C489" s="5" t="str">
        <f ca="1">IFERROR(__xludf.DUMMYFUNCTION("REGEXEXTRACT($B489, $E$2)"),"hchc")</f>
        <v>hchc</v>
      </c>
      <c r="E489" s="4"/>
      <c r="F489" s="4"/>
      <c r="G489" s="4"/>
      <c r="H489" s="4"/>
      <c r="I489" s="4"/>
      <c r="J489" s="4"/>
      <c r="K489" s="4"/>
      <c r="L489" s="4"/>
      <c r="M489" s="4"/>
      <c r="N489" s="4"/>
      <c r="O489" s="4"/>
      <c r="P489" s="4"/>
      <c r="Q489" s="4"/>
      <c r="R489" s="4"/>
      <c r="S489" s="4"/>
      <c r="T489" s="4"/>
      <c r="U489" s="4"/>
      <c r="V489" s="4"/>
      <c r="W489" s="4"/>
      <c r="X489" s="4"/>
      <c r="Y489" s="4"/>
      <c r="Z489" s="4"/>
    </row>
    <row r="490" spans="1:26" ht="15.75" customHeight="1" x14ac:dyDescent="0.2">
      <c r="A490" s="1" t="s">
        <v>976</v>
      </c>
      <c r="B490" s="1" t="s">
        <v>977</v>
      </c>
      <c r="C490" s="5" t="str">
        <f ca="1">IFERROR(__xludf.DUMMYFUNCTION("REGEXEXTRACT($B490, $E$2)"),"hsu")</f>
        <v>hsu</v>
      </c>
      <c r="E490" s="4"/>
      <c r="F490" s="4"/>
      <c r="G490" s="4"/>
      <c r="H490" s="4"/>
      <c r="I490" s="4"/>
      <c r="J490" s="4"/>
      <c r="K490" s="4"/>
      <c r="L490" s="4"/>
      <c r="M490" s="4"/>
      <c r="N490" s="4"/>
      <c r="O490" s="4"/>
      <c r="P490" s="4"/>
      <c r="Q490" s="4"/>
      <c r="R490" s="4"/>
      <c r="S490" s="4"/>
      <c r="T490" s="4"/>
      <c r="U490" s="4"/>
      <c r="V490" s="4"/>
      <c r="W490" s="4"/>
      <c r="X490" s="4"/>
      <c r="Y490" s="4"/>
      <c r="Z490" s="4"/>
    </row>
    <row r="491" spans="1:26" ht="15.75" customHeight="1" x14ac:dyDescent="0.2">
      <c r="A491" s="1" t="s">
        <v>978</v>
      </c>
      <c r="B491" s="1" t="s">
        <v>979</v>
      </c>
      <c r="C491" s="5" t="str">
        <f ca="1">IFERROR(__xludf.DUMMYFUNCTION("REGEXEXTRACT($B491, $E$2)"),"hendrix")</f>
        <v>hendrix</v>
      </c>
      <c r="E491" s="4"/>
      <c r="F491" s="4"/>
      <c r="G491" s="4"/>
      <c r="H491" s="4"/>
      <c r="I491" s="4"/>
      <c r="J491" s="4"/>
      <c r="K491" s="4"/>
      <c r="L491" s="4"/>
      <c r="M491" s="4"/>
      <c r="N491" s="4"/>
      <c r="O491" s="4"/>
      <c r="P491" s="4"/>
      <c r="Q491" s="4"/>
      <c r="R491" s="4"/>
      <c r="S491" s="4"/>
      <c r="T491" s="4"/>
      <c r="U491" s="4"/>
      <c r="V491" s="4"/>
      <c r="W491" s="4"/>
      <c r="X491" s="4"/>
      <c r="Y491" s="4"/>
      <c r="Z491" s="4"/>
    </row>
    <row r="492" spans="1:26" ht="15.75" customHeight="1" x14ac:dyDescent="0.2">
      <c r="A492" s="1" t="s">
        <v>980</v>
      </c>
      <c r="B492" s="1" t="s">
        <v>981</v>
      </c>
      <c r="C492" s="5" t="str">
        <f ca="1">IFERROR(__xludf.DUMMYFUNCTION("REGEXEXTRACT($B492, $E$2)"),"highpoint")</f>
        <v>highpoint</v>
      </c>
      <c r="E492" s="4"/>
      <c r="F492" s="4"/>
      <c r="G492" s="4"/>
      <c r="H492" s="4"/>
      <c r="I492" s="4"/>
      <c r="J492" s="4"/>
      <c r="K492" s="4"/>
      <c r="L492" s="4"/>
      <c r="M492" s="4"/>
      <c r="N492" s="4"/>
      <c r="O492" s="4"/>
      <c r="P492" s="4"/>
      <c r="Q492" s="4"/>
      <c r="R492" s="4"/>
      <c r="S492" s="4"/>
      <c r="T492" s="4"/>
      <c r="U492" s="4"/>
      <c r="V492" s="4"/>
      <c r="W492" s="4"/>
      <c r="X492" s="4"/>
      <c r="Y492" s="4"/>
      <c r="Z492" s="4"/>
    </row>
    <row r="493" spans="1:26" ht="15.75" customHeight="1" x14ac:dyDescent="0.2">
      <c r="A493" s="1" t="s">
        <v>982</v>
      </c>
      <c r="B493" s="1" t="s">
        <v>983</v>
      </c>
      <c r="C493" s="5" t="str">
        <f ca="1">IFERROR(__xludf.DUMMYFUNCTION("REGEXEXTRACT($B493, $E$2)"),"hilbert")</f>
        <v>hilbert</v>
      </c>
      <c r="E493" s="4"/>
      <c r="F493" s="4"/>
      <c r="G493" s="4"/>
      <c r="H493" s="4"/>
      <c r="I493" s="4"/>
      <c r="J493" s="4"/>
      <c r="K493" s="4"/>
      <c r="L493" s="4"/>
      <c r="M493" s="4"/>
      <c r="N493" s="4"/>
      <c r="O493" s="4"/>
      <c r="P493" s="4"/>
      <c r="Q493" s="4"/>
      <c r="R493" s="4"/>
      <c r="S493" s="4"/>
      <c r="T493" s="4"/>
      <c r="U493" s="4"/>
      <c r="V493" s="4"/>
      <c r="W493" s="4"/>
      <c r="X493" s="4"/>
      <c r="Y493" s="4"/>
      <c r="Z493" s="4"/>
    </row>
    <row r="494" spans="1:26" ht="15.75" customHeight="1" x14ac:dyDescent="0.2">
      <c r="A494" s="1" t="s">
        <v>984</v>
      </c>
      <c r="B494" s="1" t="s">
        <v>985</v>
      </c>
      <c r="C494" s="5" t="str">
        <f ca="1">IFERROR(__xludf.DUMMYFUNCTION("REGEXEXTRACT($B494, $E$2)"),"hillsdale")</f>
        <v>hillsdale</v>
      </c>
      <c r="E494" s="4"/>
      <c r="F494" s="4"/>
      <c r="G494" s="4"/>
      <c r="H494" s="4"/>
      <c r="I494" s="4"/>
      <c r="J494" s="4"/>
      <c r="K494" s="4"/>
      <c r="L494" s="4"/>
      <c r="M494" s="4"/>
      <c r="N494" s="4"/>
      <c r="O494" s="4"/>
      <c r="P494" s="4"/>
      <c r="Q494" s="4"/>
      <c r="R494" s="4"/>
      <c r="S494" s="4"/>
      <c r="T494" s="4"/>
      <c r="U494" s="4"/>
      <c r="V494" s="4"/>
      <c r="W494" s="4"/>
      <c r="X494" s="4"/>
      <c r="Y494" s="4"/>
      <c r="Z494" s="4"/>
    </row>
    <row r="495" spans="1:26" ht="15.75" customHeight="1" x14ac:dyDescent="0.2">
      <c r="A495" s="1" t="s">
        <v>986</v>
      </c>
      <c r="B495" s="1" t="s">
        <v>987</v>
      </c>
      <c r="C495" s="5" t="str">
        <f ca="1">IFERROR(__xludf.DUMMYFUNCTION("REGEXEXTRACT($B495, $E$2)"),"hiram")</f>
        <v>hiram</v>
      </c>
      <c r="E495" s="4"/>
      <c r="F495" s="4"/>
      <c r="G495" s="4"/>
      <c r="H495" s="4"/>
      <c r="I495" s="4"/>
      <c r="J495" s="4"/>
      <c r="K495" s="4"/>
      <c r="L495" s="4"/>
      <c r="M495" s="4"/>
      <c r="N495" s="4"/>
      <c r="O495" s="4"/>
      <c r="P495" s="4"/>
      <c r="Q495" s="4"/>
      <c r="R495" s="4"/>
      <c r="S495" s="4"/>
      <c r="T495" s="4"/>
      <c r="U495" s="4"/>
      <c r="V495" s="4"/>
      <c r="W495" s="4"/>
      <c r="X495" s="4"/>
      <c r="Y495" s="4"/>
      <c r="Z495" s="4"/>
    </row>
    <row r="496" spans="1:26" ht="15.75" customHeight="1" x14ac:dyDescent="0.2">
      <c r="A496" s="1" t="s">
        <v>988</v>
      </c>
      <c r="B496" s="1" t="s">
        <v>989</v>
      </c>
      <c r="C496" s="5" t="str">
        <f ca="1">IFERROR(__xludf.DUMMYFUNCTION("REGEXEXTRACT($B496, $E$2)"),"hws")</f>
        <v>hws</v>
      </c>
      <c r="E496" s="4"/>
      <c r="F496" s="4"/>
      <c r="G496" s="4"/>
      <c r="H496" s="4"/>
      <c r="I496" s="4"/>
      <c r="J496" s="4"/>
      <c r="K496" s="4"/>
      <c r="L496" s="4"/>
      <c r="M496" s="4"/>
      <c r="N496" s="4"/>
      <c r="O496" s="4"/>
      <c r="P496" s="4"/>
      <c r="Q496" s="4"/>
      <c r="R496" s="4"/>
      <c r="S496" s="4"/>
      <c r="T496" s="4"/>
      <c r="U496" s="4"/>
      <c r="V496" s="4"/>
      <c r="W496" s="4"/>
      <c r="X496" s="4"/>
      <c r="Y496" s="4"/>
      <c r="Z496" s="4"/>
    </row>
    <row r="497" spans="1:26" ht="15.75" customHeight="1" x14ac:dyDescent="0.2">
      <c r="A497" s="1" t="s">
        <v>990</v>
      </c>
      <c r="B497" s="1" t="s">
        <v>991</v>
      </c>
      <c r="C497" s="5" t="str">
        <f ca="1">IFERROR(__xludf.DUMMYFUNCTION("REGEXEXTRACT($B497, $E$2)"),"hodges")</f>
        <v>hodges</v>
      </c>
      <c r="E497" s="4"/>
      <c r="F497" s="4"/>
      <c r="G497" s="4"/>
      <c r="H497" s="4"/>
      <c r="I497" s="4"/>
      <c r="J497" s="4"/>
      <c r="K497" s="4"/>
      <c r="L497" s="4"/>
      <c r="M497" s="4"/>
      <c r="N497" s="4"/>
      <c r="O497" s="4"/>
      <c r="P497" s="4"/>
      <c r="Q497" s="4"/>
      <c r="R497" s="4"/>
      <c r="S497" s="4"/>
      <c r="T497" s="4"/>
      <c r="U497" s="4"/>
      <c r="V497" s="4"/>
      <c r="W497" s="4"/>
      <c r="X497" s="4"/>
      <c r="Y497" s="4"/>
      <c r="Z497" s="4"/>
    </row>
    <row r="498" spans="1:26" ht="15.75" customHeight="1" x14ac:dyDescent="0.2">
      <c r="A498" s="1" t="s">
        <v>992</v>
      </c>
      <c r="B498" s="1" t="s">
        <v>993</v>
      </c>
      <c r="C498" s="5" t="str">
        <f ca="1">IFERROR(__xludf.DUMMYFUNCTION("REGEXEXTRACT($B498, $E$2)"),"hofstra")</f>
        <v>hofstra</v>
      </c>
      <c r="E498" s="4"/>
      <c r="F498" s="4"/>
      <c r="G498" s="4"/>
      <c r="H498" s="4"/>
      <c r="I498" s="4"/>
      <c r="J498" s="4"/>
      <c r="K498" s="4"/>
      <c r="L498" s="4"/>
      <c r="M498" s="4"/>
      <c r="N498" s="4"/>
      <c r="O498" s="4"/>
      <c r="P498" s="4"/>
      <c r="Q498" s="4"/>
      <c r="R498" s="4"/>
      <c r="S498" s="4"/>
      <c r="T498" s="4"/>
      <c r="U498" s="4"/>
      <c r="V498" s="4"/>
      <c r="W498" s="4"/>
      <c r="X498" s="4"/>
      <c r="Y498" s="4"/>
      <c r="Z498" s="4"/>
    </row>
    <row r="499" spans="1:26" ht="15.75" customHeight="1" x14ac:dyDescent="0.2">
      <c r="A499" s="1" t="s">
        <v>994</v>
      </c>
      <c r="B499" s="1" t="s">
        <v>995</v>
      </c>
      <c r="C499" s="5" t="str">
        <f ca="1">IFERROR(__xludf.DUMMYFUNCTION("REGEXEXTRACT($B499, $E$2)"),"hollins")</f>
        <v>hollins</v>
      </c>
      <c r="E499" s="4"/>
      <c r="F499" s="4"/>
      <c r="G499" s="4"/>
      <c r="H499" s="4"/>
      <c r="I499" s="4"/>
      <c r="J499" s="4"/>
      <c r="K499" s="4"/>
      <c r="L499" s="4"/>
      <c r="M499" s="4"/>
      <c r="N499" s="4"/>
      <c r="O499" s="4"/>
      <c r="P499" s="4"/>
      <c r="Q499" s="4"/>
      <c r="R499" s="4"/>
      <c r="S499" s="4"/>
      <c r="T499" s="4"/>
      <c r="U499" s="4"/>
      <c r="V499" s="4"/>
      <c r="W499" s="4"/>
      <c r="X499" s="4"/>
      <c r="Y499" s="4"/>
      <c r="Z499" s="4"/>
    </row>
    <row r="500" spans="1:26" ht="15.75" customHeight="1" x14ac:dyDescent="0.2">
      <c r="A500" s="1" t="s">
        <v>996</v>
      </c>
      <c r="B500" s="1" t="s">
        <v>997</v>
      </c>
      <c r="C500" s="5" t="str">
        <f ca="1">IFERROR(__xludf.DUMMYFUNCTION("REGEXEXTRACT($B500, $E$2)"),"hcc-nd")</f>
        <v>hcc-nd</v>
      </c>
      <c r="E500" s="4"/>
      <c r="F500" s="4"/>
      <c r="G500" s="4"/>
      <c r="H500" s="4"/>
      <c r="I500" s="4"/>
      <c r="J500" s="4"/>
      <c r="K500" s="4"/>
      <c r="L500" s="4"/>
      <c r="M500" s="4"/>
      <c r="N500" s="4"/>
      <c r="O500" s="4"/>
      <c r="P500" s="4"/>
      <c r="Q500" s="4"/>
      <c r="R500" s="4"/>
      <c r="S500" s="4"/>
      <c r="T500" s="4"/>
      <c r="U500" s="4"/>
      <c r="V500" s="4"/>
      <c r="W500" s="4"/>
      <c r="X500" s="4"/>
      <c r="Y500" s="4"/>
      <c r="Z500" s="4"/>
    </row>
    <row r="501" spans="1:26" ht="15.75" customHeight="1" x14ac:dyDescent="0.2">
      <c r="A501" s="1" t="s">
        <v>998</v>
      </c>
      <c r="B501" s="1" t="s">
        <v>999</v>
      </c>
      <c r="C501" s="5" t="str">
        <f ca="1">IFERROR(__xludf.DUMMYFUNCTION("REGEXEXTRACT($B501, $E$2)"),"holyfamily")</f>
        <v>holyfamily</v>
      </c>
      <c r="E501" s="4"/>
      <c r="F501" s="4"/>
      <c r="G501" s="4"/>
      <c r="H501" s="4"/>
      <c r="I501" s="4"/>
      <c r="J501" s="4"/>
      <c r="K501" s="4"/>
      <c r="L501" s="4"/>
      <c r="M501" s="4"/>
      <c r="N501" s="4"/>
      <c r="O501" s="4"/>
      <c r="P501" s="4"/>
      <c r="Q501" s="4"/>
      <c r="R501" s="4"/>
      <c r="S501" s="4"/>
      <c r="T501" s="4"/>
      <c r="U501" s="4"/>
      <c r="V501" s="4"/>
      <c r="W501" s="4"/>
      <c r="X501" s="4"/>
      <c r="Y501" s="4"/>
      <c r="Z501" s="4"/>
    </row>
    <row r="502" spans="1:26" ht="15.75" customHeight="1" x14ac:dyDescent="0.2">
      <c r="A502" s="1" t="s">
        <v>1000</v>
      </c>
      <c r="B502" s="1" t="s">
        <v>1001</v>
      </c>
      <c r="C502" s="5" t="str">
        <f ca="1">IFERROR(__xludf.DUMMYFUNCTION("REGEXEXTRACT($B502, $E$2)"),"hnu")</f>
        <v>hnu</v>
      </c>
      <c r="E502" s="4"/>
      <c r="F502" s="4"/>
      <c r="G502" s="4"/>
      <c r="H502" s="4"/>
      <c r="I502" s="4"/>
      <c r="J502" s="4"/>
      <c r="K502" s="4"/>
      <c r="L502" s="4"/>
      <c r="M502" s="4"/>
      <c r="N502" s="4"/>
      <c r="O502" s="4"/>
      <c r="P502" s="4"/>
      <c r="Q502" s="4"/>
      <c r="R502" s="4"/>
      <c r="S502" s="4"/>
      <c r="T502" s="4"/>
      <c r="U502" s="4"/>
      <c r="V502" s="4"/>
      <c r="W502" s="4"/>
      <c r="X502" s="4"/>
      <c r="Y502" s="4"/>
      <c r="Z502" s="4"/>
    </row>
    <row r="503" spans="1:26" ht="15.75" customHeight="1" x14ac:dyDescent="0.2">
      <c r="A503" s="1" t="s">
        <v>1002</v>
      </c>
      <c r="B503" s="1" t="s">
        <v>1003</v>
      </c>
      <c r="C503" s="5" t="str">
        <f ca="1">IFERROR(__xludf.DUMMYFUNCTION("REGEXEXTRACT($B503, $E$2)"),"hood")</f>
        <v>hood</v>
      </c>
      <c r="E503" s="4"/>
      <c r="F503" s="4"/>
      <c r="G503" s="4"/>
      <c r="H503" s="4"/>
      <c r="I503" s="4"/>
      <c r="J503" s="4"/>
      <c r="K503" s="4"/>
      <c r="L503" s="4"/>
      <c r="M503" s="4"/>
      <c r="N503" s="4"/>
      <c r="O503" s="4"/>
      <c r="P503" s="4"/>
      <c r="Q503" s="4"/>
      <c r="R503" s="4"/>
      <c r="S503" s="4"/>
      <c r="T503" s="4"/>
      <c r="U503" s="4"/>
      <c r="V503" s="4"/>
      <c r="W503" s="4"/>
      <c r="X503" s="4"/>
      <c r="Y503" s="4"/>
      <c r="Z503" s="4"/>
    </row>
    <row r="504" spans="1:26" ht="15.75" customHeight="1" x14ac:dyDescent="0.2">
      <c r="A504" s="1" t="s">
        <v>1004</v>
      </c>
      <c r="B504" s="1" t="s">
        <v>1005</v>
      </c>
      <c r="C504" s="5" t="str">
        <f ca="1">IFERROR(__xludf.DUMMYFUNCTION("REGEXEXTRACT($B504, $E$2)"),"hope")</f>
        <v>hope</v>
      </c>
      <c r="E504" s="4"/>
      <c r="F504" s="4"/>
      <c r="G504" s="4"/>
      <c r="H504" s="4"/>
      <c r="I504" s="4"/>
      <c r="J504" s="4"/>
      <c r="K504" s="4"/>
      <c r="L504" s="4"/>
      <c r="M504" s="4"/>
      <c r="N504" s="4"/>
      <c r="O504" s="4"/>
      <c r="P504" s="4"/>
      <c r="Q504" s="4"/>
      <c r="R504" s="4"/>
      <c r="S504" s="4"/>
      <c r="T504" s="4"/>
      <c r="U504" s="4"/>
      <c r="V504" s="4"/>
      <c r="W504" s="4"/>
      <c r="X504" s="4"/>
      <c r="Y504" s="4"/>
      <c r="Z504" s="4"/>
    </row>
    <row r="505" spans="1:26" ht="15.75" customHeight="1" x14ac:dyDescent="0.2">
      <c r="A505" s="1" t="s">
        <v>1006</v>
      </c>
      <c r="B505" s="1" t="s">
        <v>1007</v>
      </c>
      <c r="C505" s="5" t="str">
        <f ca="1">IFERROR(__xludf.DUMMYFUNCTION("REGEXEXTRACT($B505, $E$2)"),"houghton")</f>
        <v>houghton</v>
      </c>
      <c r="E505" s="4"/>
      <c r="F505" s="4"/>
      <c r="G505" s="4"/>
      <c r="H505" s="4"/>
      <c r="I505" s="4"/>
      <c r="J505" s="4"/>
      <c r="K505" s="4"/>
      <c r="L505" s="4"/>
      <c r="M505" s="4"/>
      <c r="N505" s="4"/>
      <c r="O505" s="4"/>
      <c r="P505" s="4"/>
      <c r="Q505" s="4"/>
      <c r="R505" s="4"/>
      <c r="S505" s="4"/>
      <c r="T505" s="4"/>
      <c r="U505" s="4"/>
      <c r="V505" s="4"/>
      <c r="W505" s="4"/>
      <c r="X505" s="4"/>
      <c r="Y505" s="4"/>
      <c r="Z505" s="4"/>
    </row>
    <row r="506" spans="1:26" ht="15.75" customHeight="1" x14ac:dyDescent="0.2">
      <c r="A506" s="1" t="s">
        <v>1008</v>
      </c>
      <c r="B506" s="1" t="s">
        <v>1009</v>
      </c>
      <c r="C506" s="5" t="str">
        <f ca="1">IFERROR(__xludf.DUMMYFUNCTION("REGEXEXTRACT($B506, $E$2)"),"hbu")</f>
        <v>hbu</v>
      </c>
      <c r="E506" s="4"/>
      <c r="F506" s="4"/>
      <c r="G506" s="4"/>
      <c r="H506" s="4"/>
      <c r="I506" s="4"/>
      <c r="J506" s="4"/>
      <c r="K506" s="4"/>
      <c r="L506" s="4"/>
      <c r="M506" s="4"/>
      <c r="N506" s="4"/>
      <c r="O506" s="4"/>
      <c r="P506" s="4"/>
      <c r="Q506" s="4"/>
      <c r="R506" s="4"/>
      <c r="S506" s="4"/>
      <c r="T506" s="4"/>
      <c r="U506" s="4"/>
      <c r="V506" s="4"/>
      <c r="W506" s="4"/>
      <c r="X506" s="4"/>
      <c r="Y506" s="4"/>
      <c r="Z506" s="4"/>
    </row>
    <row r="507" spans="1:26" ht="15.75" customHeight="1" x14ac:dyDescent="0.2">
      <c r="A507" s="1" t="s">
        <v>1010</v>
      </c>
      <c r="B507" s="1" t="s">
        <v>1011</v>
      </c>
      <c r="C507" s="5" t="str">
        <f ca="1">IFERROR(__xludf.DUMMYFUNCTION("REGEXEXTRACT($B507, $E$2)"),"hputx")</f>
        <v>hputx</v>
      </c>
      <c r="E507" s="4"/>
      <c r="F507" s="4"/>
      <c r="G507" s="4"/>
      <c r="H507" s="4"/>
      <c r="I507" s="4"/>
      <c r="J507" s="4"/>
      <c r="K507" s="4"/>
      <c r="L507" s="4"/>
      <c r="M507" s="4"/>
      <c r="N507" s="4"/>
      <c r="O507" s="4"/>
      <c r="P507" s="4"/>
      <c r="Q507" s="4"/>
      <c r="R507" s="4"/>
      <c r="S507" s="4"/>
      <c r="T507" s="4"/>
      <c r="U507" s="4"/>
      <c r="V507" s="4"/>
      <c r="W507" s="4"/>
      <c r="X507" s="4"/>
      <c r="Y507" s="4"/>
      <c r="Z507" s="4"/>
    </row>
    <row r="508" spans="1:26" ht="15.75" customHeight="1" x14ac:dyDescent="0.2">
      <c r="A508" s="1" t="s">
        <v>1012</v>
      </c>
      <c r="B508" s="1" t="s">
        <v>1013</v>
      </c>
      <c r="C508" s="5" t="str">
        <f ca="1">IFERROR(__xludf.DUMMYFUNCTION("REGEXEXTRACT($B508, $E$2)"),"howard")</f>
        <v>howard</v>
      </c>
      <c r="E508" s="4"/>
      <c r="F508" s="4"/>
      <c r="G508" s="4"/>
      <c r="H508" s="4"/>
      <c r="I508" s="4"/>
      <c r="J508" s="4"/>
      <c r="K508" s="4"/>
      <c r="L508" s="4"/>
      <c r="M508" s="4"/>
      <c r="N508" s="4"/>
      <c r="O508" s="4"/>
      <c r="P508" s="4"/>
      <c r="Q508" s="4"/>
      <c r="R508" s="4"/>
      <c r="S508" s="4"/>
      <c r="T508" s="4"/>
      <c r="U508" s="4"/>
      <c r="V508" s="4"/>
      <c r="W508" s="4"/>
      <c r="X508" s="4"/>
      <c r="Y508" s="4"/>
      <c r="Z508" s="4"/>
    </row>
    <row r="509" spans="1:26" ht="15.75" customHeight="1" x14ac:dyDescent="0.2">
      <c r="A509" s="1" t="s">
        <v>1014</v>
      </c>
      <c r="B509" s="1" t="s">
        <v>1015</v>
      </c>
      <c r="C509" s="5" t="str">
        <f ca="1">IFERROR(__xludf.DUMMYFUNCTION("REGEXEXTRACT($B509, $E$2)"),"hult")</f>
        <v>hult</v>
      </c>
      <c r="E509" s="4"/>
      <c r="F509" s="4"/>
      <c r="G509" s="4"/>
      <c r="H509" s="4"/>
      <c r="I509" s="4"/>
      <c r="J509" s="4"/>
      <c r="K509" s="4"/>
      <c r="L509" s="4"/>
      <c r="M509" s="4"/>
      <c r="N509" s="4"/>
      <c r="O509" s="4"/>
      <c r="P509" s="4"/>
      <c r="Q509" s="4"/>
      <c r="R509" s="4"/>
      <c r="S509" s="4"/>
      <c r="T509" s="4"/>
      <c r="U509" s="4"/>
      <c r="V509" s="4"/>
      <c r="W509" s="4"/>
      <c r="X509" s="4"/>
      <c r="Y509" s="4"/>
      <c r="Z509" s="4"/>
    </row>
    <row r="510" spans="1:26" ht="15.75" customHeight="1" x14ac:dyDescent="0.2">
      <c r="A510" s="1" t="s">
        <v>1016</v>
      </c>
      <c r="B510" s="1" t="s">
        <v>1017</v>
      </c>
      <c r="C510" s="5" t="str">
        <f ca="1">IFERROR(__xludf.DUMMYFUNCTION("REGEXEXTRACT($B510, $E$2)"),"humboldt")</f>
        <v>humboldt</v>
      </c>
      <c r="E510" s="4"/>
      <c r="F510" s="4"/>
      <c r="G510" s="4"/>
      <c r="H510" s="4"/>
      <c r="I510" s="4"/>
      <c r="J510" s="4"/>
      <c r="K510" s="4"/>
      <c r="L510" s="4"/>
      <c r="M510" s="4"/>
      <c r="N510" s="4"/>
      <c r="O510" s="4"/>
      <c r="P510" s="4"/>
      <c r="Q510" s="4"/>
      <c r="R510" s="4"/>
      <c r="S510" s="4"/>
      <c r="T510" s="4"/>
      <c r="U510" s="4"/>
      <c r="V510" s="4"/>
      <c r="W510" s="4"/>
      <c r="X510" s="4"/>
      <c r="Y510" s="4"/>
      <c r="Z510" s="4"/>
    </row>
    <row r="511" spans="1:26" ht="15.75" customHeight="1" x14ac:dyDescent="0.2">
      <c r="A511" s="1" t="s">
        <v>1018</v>
      </c>
      <c r="B511" s="1" t="s">
        <v>1019</v>
      </c>
      <c r="C511" s="5" t="str">
        <f ca="1">IFERROR(__xludf.DUMMYFUNCTION("REGEXEXTRACT($B511, $E$2)"),"huntingdon")</f>
        <v>huntingdon</v>
      </c>
      <c r="E511" s="4"/>
      <c r="F511" s="4"/>
      <c r="G511" s="4"/>
      <c r="H511" s="4"/>
      <c r="I511" s="4"/>
      <c r="J511" s="4"/>
      <c r="K511" s="4"/>
      <c r="L511" s="4"/>
      <c r="M511" s="4"/>
      <c r="N511" s="4"/>
      <c r="O511" s="4"/>
      <c r="P511" s="4"/>
      <c r="Q511" s="4"/>
      <c r="R511" s="4"/>
      <c r="S511" s="4"/>
      <c r="T511" s="4"/>
      <c r="U511" s="4"/>
      <c r="V511" s="4"/>
      <c r="W511" s="4"/>
      <c r="X511" s="4"/>
      <c r="Y511" s="4"/>
      <c r="Z511" s="4"/>
    </row>
    <row r="512" spans="1:26" ht="15.75" customHeight="1" x14ac:dyDescent="0.2">
      <c r="A512" s="1" t="s">
        <v>1020</v>
      </c>
      <c r="B512" s="1" t="s">
        <v>1021</v>
      </c>
      <c r="C512" s="5" t="str">
        <f ca="1">IFERROR(__xludf.DUMMYFUNCTION("REGEXEXTRACT($B512, $E$2)"),"hchs")</f>
        <v>hchs</v>
      </c>
      <c r="E512" s="4"/>
      <c r="F512" s="4"/>
      <c r="G512" s="4"/>
      <c r="H512" s="4"/>
      <c r="I512" s="4"/>
      <c r="J512" s="4"/>
      <c r="K512" s="4"/>
      <c r="L512" s="4"/>
      <c r="M512" s="4"/>
      <c r="N512" s="4"/>
      <c r="O512" s="4"/>
      <c r="P512" s="4"/>
      <c r="Q512" s="4"/>
      <c r="R512" s="4"/>
      <c r="S512" s="4"/>
      <c r="T512" s="4"/>
      <c r="U512" s="4"/>
      <c r="V512" s="4"/>
      <c r="W512" s="4"/>
      <c r="X512" s="4"/>
      <c r="Y512" s="4"/>
      <c r="Z512" s="4"/>
    </row>
    <row r="513" spans="1:26" ht="15.75" customHeight="1" x14ac:dyDescent="0.2">
      <c r="A513" s="1" t="s">
        <v>1022</v>
      </c>
      <c r="B513" s="1" t="s">
        <v>1023</v>
      </c>
      <c r="C513" s="5" t="str">
        <f ca="1">IFERROR(__xludf.DUMMYFUNCTION("REGEXEXTRACT($B513, $E$2)"),"huntington")</f>
        <v>huntington</v>
      </c>
      <c r="E513" s="4"/>
      <c r="F513" s="4"/>
      <c r="G513" s="4"/>
      <c r="H513" s="4"/>
      <c r="I513" s="4"/>
      <c r="J513" s="4"/>
      <c r="K513" s="4"/>
      <c r="L513" s="4"/>
      <c r="M513" s="4"/>
      <c r="N513" s="4"/>
      <c r="O513" s="4"/>
      <c r="P513" s="4"/>
      <c r="Q513" s="4"/>
      <c r="R513" s="4"/>
      <c r="S513" s="4"/>
      <c r="T513" s="4"/>
      <c r="U513" s="4"/>
      <c r="V513" s="4"/>
      <c r="W513" s="4"/>
      <c r="X513" s="4"/>
      <c r="Y513" s="4"/>
      <c r="Z513" s="4"/>
    </row>
    <row r="514" spans="1:26" ht="15.75" customHeight="1" x14ac:dyDescent="0.2">
      <c r="A514" s="1" t="s">
        <v>1024</v>
      </c>
      <c r="B514" s="1" t="s">
        <v>1025</v>
      </c>
      <c r="C514" s="5" t="str">
        <f ca="1">IFERROR(__xludf.DUMMYFUNCTION("REGEXEXTRACT($B514, $E$2)"),"husson")</f>
        <v>husson</v>
      </c>
      <c r="E514" s="4"/>
      <c r="F514" s="4"/>
      <c r="G514" s="4"/>
      <c r="H514" s="4"/>
      <c r="I514" s="4"/>
      <c r="J514" s="4"/>
      <c r="K514" s="4"/>
      <c r="L514" s="4"/>
      <c r="M514" s="4"/>
      <c r="N514" s="4"/>
      <c r="O514" s="4"/>
      <c r="P514" s="4"/>
      <c r="Q514" s="4"/>
      <c r="R514" s="4"/>
      <c r="S514" s="4"/>
      <c r="T514" s="4"/>
      <c r="U514" s="4"/>
      <c r="V514" s="4"/>
      <c r="W514" s="4"/>
      <c r="X514" s="4"/>
      <c r="Y514" s="4"/>
      <c r="Z514" s="4"/>
    </row>
    <row r="515" spans="1:26" ht="15.75" customHeight="1" x14ac:dyDescent="0.2">
      <c r="A515" s="1" t="s">
        <v>1026</v>
      </c>
      <c r="B515" s="1" t="s">
        <v>1027</v>
      </c>
      <c r="C515" s="5" t="str">
        <f ca="1">IFERROR(__xludf.DUMMYFUNCTION("REGEXEXTRACT($B515, $E$2)"),"htu")</f>
        <v>htu</v>
      </c>
      <c r="E515" s="4"/>
      <c r="F515" s="4"/>
      <c r="G515" s="4"/>
      <c r="H515" s="4"/>
      <c r="I515" s="4"/>
      <c r="J515" s="4"/>
      <c r="K515" s="4"/>
      <c r="L515" s="4"/>
      <c r="M515" s="4"/>
      <c r="N515" s="4"/>
      <c r="O515" s="4"/>
      <c r="P515" s="4"/>
      <c r="Q515" s="4"/>
      <c r="R515" s="4"/>
      <c r="S515" s="4"/>
      <c r="T515" s="4"/>
      <c r="U515" s="4"/>
      <c r="V515" s="4"/>
      <c r="W515" s="4"/>
      <c r="X515" s="4"/>
      <c r="Y515" s="4"/>
      <c r="Z515" s="4"/>
    </row>
    <row r="516" spans="1:26" ht="15.75" customHeight="1" x14ac:dyDescent="0.2">
      <c r="A516" s="1" t="s">
        <v>1028</v>
      </c>
      <c r="B516" s="1" t="s">
        <v>1029</v>
      </c>
      <c r="C516" s="5" t="str">
        <f ca="1">IFERROR(__xludf.DUMMYFUNCTION("REGEXEXTRACT($B516, $E$2)"),"isu")</f>
        <v>isu</v>
      </c>
      <c r="E516" s="4"/>
      <c r="F516" s="4"/>
      <c r="G516" s="4"/>
      <c r="H516" s="4"/>
      <c r="I516" s="4"/>
      <c r="J516" s="4"/>
      <c r="K516" s="4"/>
      <c r="L516" s="4"/>
      <c r="M516" s="4"/>
      <c r="N516" s="4"/>
      <c r="O516" s="4"/>
      <c r="P516" s="4"/>
      <c r="Q516" s="4"/>
      <c r="R516" s="4"/>
      <c r="S516" s="4"/>
      <c r="T516" s="4"/>
      <c r="U516" s="4"/>
      <c r="V516" s="4"/>
      <c r="W516" s="4"/>
      <c r="X516" s="4"/>
      <c r="Y516" s="4"/>
      <c r="Z516" s="4"/>
    </row>
    <row r="517" spans="1:26" ht="15.75" customHeight="1" x14ac:dyDescent="0.2">
      <c r="A517" s="1" t="s">
        <v>1030</v>
      </c>
      <c r="B517" s="1" t="s">
        <v>1031</v>
      </c>
      <c r="C517" s="5" t="str">
        <f ca="1">IFERROR(__xludf.DUMMYFUNCTION("REGEXEXTRACT($B517, $E$2)"),"ie")</f>
        <v>ie</v>
      </c>
      <c r="E517" s="4"/>
      <c r="F517" s="4"/>
      <c r="G517" s="4"/>
      <c r="H517" s="4"/>
      <c r="I517" s="4"/>
      <c r="J517" s="4"/>
      <c r="K517" s="4"/>
      <c r="L517" s="4"/>
      <c r="M517" s="4"/>
      <c r="N517" s="4"/>
      <c r="O517" s="4"/>
      <c r="P517" s="4"/>
      <c r="Q517" s="4"/>
      <c r="R517" s="4"/>
      <c r="S517" s="4"/>
      <c r="T517" s="4"/>
      <c r="U517" s="4"/>
      <c r="V517" s="4"/>
      <c r="W517" s="4"/>
      <c r="X517" s="4"/>
      <c r="Y517" s="4"/>
      <c r="Z517" s="4"/>
    </row>
    <row r="518" spans="1:26" ht="15.75" customHeight="1" x14ac:dyDescent="0.2">
      <c r="A518" s="1" t="s">
        <v>1032</v>
      </c>
      <c r="B518" s="1" t="s">
        <v>1033</v>
      </c>
      <c r="C518" s="5" t="str">
        <f ca="1">IFERROR(__xludf.DUMMYFUNCTION("REGEXEXTRACT($B518, $E$2)"),"ic")</f>
        <v>ic</v>
      </c>
      <c r="E518" s="4"/>
      <c r="F518" s="4"/>
      <c r="G518" s="4"/>
      <c r="H518" s="4"/>
      <c r="I518" s="4"/>
      <c r="J518" s="4"/>
      <c r="K518" s="4"/>
      <c r="L518" s="4"/>
      <c r="M518" s="4"/>
      <c r="N518" s="4"/>
      <c r="O518" s="4"/>
      <c r="P518" s="4"/>
      <c r="Q518" s="4"/>
      <c r="R518" s="4"/>
      <c r="S518" s="4"/>
      <c r="T518" s="4"/>
      <c r="U518" s="4"/>
      <c r="V518" s="4"/>
      <c r="W518" s="4"/>
      <c r="X518" s="4"/>
      <c r="Y518" s="4"/>
      <c r="Z518" s="4"/>
    </row>
    <row r="519" spans="1:26" ht="15.75" customHeight="1" x14ac:dyDescent="0.2">
      <c r="A519" s="1" t="s">
        <v>1034</v>
      </c>
      <c r="B519" s="1" t="s">
        <v>1035</v>
      </c>
      <c r="C519" s="5" t="str">
        <f ca="1">IFERROR(__xludf.DUMMYFUNCTION("REGEXEXTRACT($B519, $E$2)"),"iit")</f>
        <v>iit</v>
      </c>
      <c r="E519" s="4"/>
      <c r="F519" s="4"/>
      <c r="G519" s="4"/>
      <c r="H519" s="4"/>
      <c r="I519" s="4"/>
      <c r="J519" s="4"/>
      <c r="K519" s="4"/>
      <c r="L519" s="4"/>
      <c r="M519" s="4"/>
      <c r="N519" s="4"/>
      <c r="O519" s="4"/>
      <c r="P519" s="4"/>
      <c r="Q519" s="4"/>
      <c r="R519" s="4"/>
      <c r="S519" s="4"/>
      <c r="T519" s="4"/>
      <c r="U519" s="4"/>
      <c r="V519" s="4"/>
      <c r="W519" s="4"/>
      <c r="X519" s="4"/>
      <c r="Y519" s="4"/>
      <c r="Z519" s="4"/>
    </row>
    <row r="520" spans="1:26" ht="15.75" customHeight="1" x14ac:dyDescent="0.2">
      <c r="A520" s="1" t="s">
        <v>1036</v>
      </c>
      <c r="B520" s="1" t="s">
        <v>1037</v>
      </c>
      <c r="C520" s="5" t="str">
        <f ca="1">IFERROR(__xludf.DUMMYFUNCTION("REGEXEXTRACT($B520, $E$2)"),"illinoisstate")</f>
        <v>illinoisstate</v>
      </c>
      <c r="E520" s="4"/>
      <c r="F520" s="4"/>
      <c r="G520" s="4"/>
      <c r="H520" s="4"/>
      <c r="I520" s="4"/>
      <c r="J520" s="4"/>
      <c r="K520" s="4"/>
      <c r="L520" s="4"/>
      <c r="M520" s="4"/>
      <c r="N520" s="4"/>
      <c r="O520" s="4"/>
      <c r="P520" s="4"/>
      <c r="Q520" s="4"/>
      <c r="R520" s="4"/>
      <c r="S520" s="4"/>
      <c r="T520" s="4"/>
      <c r="U520" s="4"/>
      <c r="V520" s="4"/>
      <c r="W520" s="4"/>
      <c r="X520" s="4"/>
      <c r="Y520" s="4"/>
      <c r="Z520" s="4"/>
    </row>
    <row r="521" spans="1:26" ht="15.75" customHeight="1" x14ac:dyDescent="0.2">
      <c r="A521" s="1" t="s">
        <v>1038</v>
      </c>
      <c r="B521" s="1" t="s">
        <v>1039</v>
      </c>
      <c r="C521" s="5" t="str">
        <f ca="1">IFERROR(__xludf.DUMMYFUNCTION("REGEXEXTRACT($B521, $E$2)"),"iwu")</f>
        <v>iwu</v>
      </c>
      <c r="E521" s="4"/>
      <c r="F521" s="4"/>
      <c r="G521" s="4"/>
      <c r="H521" s="4"/>
      <c r="I521" s="4"/>
      <c r="J521" s="4"/>
      <c r="K521" s="4"/>
      <c r="L521" s="4"/>
      <c r="M521" s="4"/>
      <c r="N521" s="4"/>
      <c r="O521" s="4"/>
      <c r="P521" s="4"/>
      <c r="Q521" s="4"/>
      <c r="R521" s="4"/>
      <c r="S521" s="4"/>
      <c r="T521" s="4"/>
      <c r="U521" s="4"/>
      <c r="V521" s="4"/>
      <c r="W521" s="4"/>
      <c r="X521" s="4"/>
      <c r="Y521" s="4"/>
      <c r="Z521" s="4"/>
    </row>
    <row r="522" spans="1:26" ht="15.75" customHeight="1" x14ac:dyDescent="0.2">
      <c r="A522" s="1" t="s">
        <v>1040</v>
      </c>
      <c r="B522" s="1" t="s">
        <v>1041</v>
      </c>
      <c r="C522" s="5" t="str">
        <f ca="1">IFERROR(__xludf.DUMMYFUNCTION("REGEXEXTRACT($B522, $E$2)"),"immaculata")</f>
        <v>immaculata</v>
      </c>
      <c r="E522" s="4"/>
      <c r="F522" s="4"/>
      <c r="G522" s="4"/>
      <c r="H522" s="4"/>
      <c r="I522" s="4"/>
      <c r="J522" s="4"/>
      <c r="K522" s="4"/>
      <c r="L522" s="4"/>
      <c r="M522" s="4"/>
      <c r="N522" s="4"/>
      <c r="O522" s="4"/>
      <c r="P522" s="4"/>
      <c r="Q522" s="4"/>
      <c r="R522" s="4"/>
      <c r="S522" s="4"/>
      <c r="T522" s="4"/>
      <c r="U522" s="4"/>
      <c r="V522" s="4"/>
      <c r="W522" s="4"/>
      <c r="X522" s="4"/>
      <c r="Y522" s="4"/>
      <c r="Z522" s="4"/>
    </row>
    <row r="523" spans="1:26" ht="15.75" customHeight="1" x14ac:dyDescent="0.2">
      <c r="A523" s="1" t="s">
        <v>1042</v>
      </c>
      <c r="B523" s="1" t="s">
        <v>1043</v>
      </c>
      <c r="C523" s="5" t="str">
        <f ca="1">IFERROR(__xludf.DUMMYFUNCTION("REGEXEXTRACT($B523, $E$2)"),"indianatech")</f>
        <v>indianatech</v>
      </c>
      <c r="E523" s="4"/>
      <c r="F523" s="4"/>
      <c r="G523" s="4"/>
      <c r="H523" s="4"/>
      <c r="I523" s="4"/>
      <c r="J523" s="4"/>
      <c r="K523" s="4"/>
      <c r="L523" s="4"/>
      <c r="M523" s="4"/>
      <c r="N523" s="4"/>
      <c r="O523" s="4"/>
      <c r="P523" s="4"/>
      <c r="Q523" s="4"/>
      <c r="R523" s="4"/>
      <c r="S523" s="4"/>
      <c r="T523" s="4"/>
      <c r="U523" s="4"/>
      <c r="V523" s="4"/>
      <c r="W523" s="4"/>
      <c r="X523" s="4"/>
      <c r="Y523" s="4"/>
      <c r="Z523" s="4"/>
    </row>
    <row r="524" spans="1:26" ht="15.75" customHeight="1" x14ac:dyDescent="0.2">
      <c r="A524" s="1" t="s">
        <v>1044</v>
      </c>
      <c r="B524" s="1" t="s">
        <v>1045</v>
      </c>
      <c r="C524" s="5" t="str">
        <f ca="1">IFERROR(__xludf.DUMMYFUNCTION("REGEXEXTRACT($B524, $E$2)"),"indstate")</f>
        <v>indstate</v>
      </c>
      <c r="E524" s="4"/>
      <c r="F524" s="4"/>
      <c r="G524" s="4"/>
      <c r="H524" s="4"/>
      <c r="I524" s="4"/>
      <c r="J524" s="4"/>
      <c r="K524" s="4"/>
      <c r="L524" s="4"/>
      <c r="M524" s="4"/>
      <c r="N524" s="4"/>
      <c r="O524" s="4"/>
      <c r="P524" s="4"/>
      <c r="Q524" s="4"/>
      <c r="R524" s="4"/>
      <c r="S524" s="4"/>
      <c r="T524" s="4"/>
      <c r="U524" s="4"/>
      <c r="V524" s="4"/>
      <c r="W524" s="4"/>
      <c r="X524" s="4"/>
      <c r="Y524" s="4"/>
      <c r="Z524" s="4"/>
    </row>
    <row r="525" spans="1:26" ht="15.75" customHeight="1" x14ac:dyDescent="0.2">
      <c r="A525" s="1" t="s">
        <v>1046</v>
      </c>
      <c r="B525" s="1" t="s">
        <v>1047</v>
      </c>
      <c r="C525" s="5" t="str">
        <f ca="1">IFERROR(__xludf.DUMMYFUNCTION("REGEXEXTRACT($B525, $E$2)"),"indiana")</f>
        <v>indiana</v>
      </c>
      <c r="E525" s="4"/>
      <c r="F525" s="4"/>
      <c r="G525" s="4"/>
      <c r="H525" s="4"/>
      <c r="I525" s="4"/>
      <c r="J525" s="4"/>
      <c r="K525" s="4"/>
      <c r="L525" s="4"/>
      <c r="M525" s="4"/>
      <c r="N525" s="4"/>
      <c r="O525" s="4"/>
      <c r="P525" s="4"/>
      <c r="Q525" s="4"/>
      <c r="R525" s="4"/>
      <c r="S525" s="4"/>
      <c r="T525" s="4"/>
      <c r="U525" s="4"/>
      <c r="V525" s="4"/>
      <c r="W525" s="4"/>
      <c r="X525" s="4"/>
      <c r="Y525" s="4"/>
      <c r="Z525" s="4"/>
    </row>
    <row r="526" spans="1:26" ht="15.75" customHeight="1" x14ac:dyDescent="0.2">
      <c r="A526" s="1" t="s">
        <v>1048</v>
      </c>
      <c r="B526" s="1" t="s">
        <v>1049</v>
      </c>
      <c r="C526" s="5" t="str">
        <f ca="1">IFERROR(__xludf.DUMMYFUNCTION("REGEXEXTRACT($B526, $E$2)"),"iue")</f>
        <v>iue</v>
      </c>
      <c r="E526" s="4"/>
      <c r="F526" s="4"/>
      <c r="G526" s="4"/>
      <c r="H526" s="4"/>
      <c r="I526" s="4"/>
      <c r="J526" s="4"/>
      <c r="K526" s="4"/>
      <c r="L526" s="4"/>
      <c r="M526" s="4"/>
      <c r="N526" s="4"/>
      <c r="O526" s="4"/>
      <c r="P526" s="4"/>
      <c r="Q526" s="4"/>
      <c r="R526" s="4"/>
      <c r="S526" s="4"/>
      <c r="T526" s="4"/>
      <c r="U526" s="4"/>
      <c r="V526" s="4"/>
      <c r="W526" s="4"/>
      <c r="X526" s="4"/>
      <c r="Y526" s="4"/>
      <c r="Z526" s="4"/>
    </row>
    <row r="527" spans="1:26" ht="15.75" customHeight="1" x14ac:dyDescent="0.2">
      <c r="A527" s="1" t="s">
        <v>1050</v>
      </c>
      <c r="B527" s="1" t="s">
        <v>1051</v>
      </c>
      <c r="C527" s="5" t="str">
        <f ca="1">IFERROR(__xludf.DUMMYFUNCTION("REGEXEXTRACT($B527, $E$2)"),"iuk")</f>
        <v>iuk</v>
      </c>
      <c r="E527" s="4"/>
      <c r="F527" s="4"/>
      <c r="G527" s="4"/>
      <c r="H527" s="4"/>
      <c r="I527" s="4"/>
      <c r="J527" s="4"/>
      <c r="K527" s="4"/>
      <c r="L527" s="4"/>
      <c r="M527" s="4"/>
      <c r="N527" s="4"/>
      <c r="O527" s="4"/>
      <c r="P527" s="4"/>
      <c r="Q527" s="4"/>
      <c r="R527" s="4"/>
      <c r="S527" s="4"/>
      <c r="T527" s="4"/>
      <c r="U527" s="4"/>
      <c r="V527" s="4"/>
      <c r="W527" s="4"/>
      <c r="X527" s="4"/>
      <c r="Y527" s="4"/>
      <c r="Z527" s="4"/>
    </row>
    <row r="528" spans="1:26" ht="15.75" customHeight="1" x14ac:dyDescent="0.2">
      <c r="A528" s="1" t="s">
        <v>1052</v>
      </c>
      <c r="B528" s="1" t="s">
        <v>1053</v>
      </c>
      <c r="C528" s="5" t="str">
        <f ca="1">IFERROR(__xludf.DUMMYFUNCTION("REGEXEXTRACT($B528, $E$2)"),"iun")</f>
        <v>iun</v>
      </c>
      <c r="E528" s="4"/>
      <c r="F528" s="4"/>
      <c r="G528" s="4"/>
      <c r="H528" s="4"/>
      <c r="I528" s="4"/>
      <c r="J528" s="4"/>
      <c r="K528" s="4"/>
      <c r="L528" s="4"/>
      <c r="M528" s="4"/>
      <c r="N528" s="4"/>
      <c r="O528" s="4"/>
      <c r="P528" s="4"/>
      <c r="Q528" s="4"/>
      <c r="R528" s="4"/>
      <c r="S528" s="4"/>
      <c r="T528" s="4"/>
      <c r="U528" s="4"/>
      <c r="V528" s="4"/>
      <c r="W528" s="4"/>
      <c r="X528" s="4"/>
      <c r="Y528" s="4"/>
      <c r="Z528" s="4"/>
    </row>
    <row r="529" spans="1:26" ht="15.75" customHeight="1" x14ac:dyDescent="0.2">
      <c r="A529" s="1" t="s">
        <v>1054</v>
      </c>
      <c r="B529" s="1" t="s">
        <v>1055</v>
      </c>
      <c r="C529" s="5" t="str">
        <f ca="1">IFERROR(__xludf.DUMMYFUNCTION("REGEXEXTRACT($B529, $E$2)"),"iup")</f>
        <v>iup</v>
      </c>
      <c r="E529" s="4"/>
      <c r="F529" s="4"/>
      <c r="G529" s="4"/>
      <c r="H529" s="4"/>
      <c r="I529" s="4"/>
      <c r="J529" s="4"/>
      <c r="K529" s="4"/>
      <c r="L529" s="4"/>
      <c r="M529" s="4"/>
      <c r="N529" s="4"/>
      <c r="O529" s="4"/>
      <c r="P529" s="4"/>
      <c r="Q529" s="4"/>
      <c r="R529" s="4"/>
      <c r="S529" s="4"/>
      <c r="T529" s="4"/>
      <c r="U529" s="4"/>
      <c r="V529" s="4"/>
      <c r="W529" s="4"/>
      <c r="X529" s="4"/>
      <c r="Y529" s="4"/>
      <c r="Z529" s="4"/>
    </row>
    <row r="530" spans="1:26" ht="15.75" customHeight="1" x14ac:dyDescent="0.2">
      <c r="A530" s="1" t="s">
        <v>1056</v>
      </c>
      <c r="B530" s="1" t="s">
        <v>1057</v>
      </c>
      <c r="C530" s="5" t="str">
        <f ca="1">IFERROR(__xludf.DUMMYFUNCTION("REGEXEXTRACT($B530, $E$2)"),"iusb")</f>
        <v>iusb</v>
      </c>
      <c r="E530" s="4"/>
      <c r="F530" s="4"/>
      <c r="G530" s="4"/>
      <c r="H530" s="4"/>
      <c r="I530" s="4"/>
      <c r="J530" s="4"/>
      <c r="K530" s="4"/>
      <c r="L530" s="4"/>
      <c r="M530" s="4"/>
      <c r="N530" s="4"/>
      <c r="O530" s="4"/>
      <c r="P530" s="4"/>
      <c r="Q530" s="4"/>
      <c r="R530" s="4"/>
      <c r="S530" s="4"/>
      <c r="T530" s="4"/>
      <c r="U530" s="4"/>
      <c r="V530" s="4"/>
      <c r="W530" s="4"/>
      <c r="X530" s="4"/>
      <c r="Y530" s="4"/>
      <c r="Z530" s="4"/>
    </row>
    <row r="531" spans="1:26" ht="15.75" customHeight="1" x14ac:dyDescent="0.2">
      <c r="A531" s="1" t="s">
        <v>1058</v>
      </c>
      <c r="B531" s="1" t="s">
        <v>1059</v>
      </c>
      <c r="C531" s="5" t="str">
        <f ca="1">IFERROR(__xludf.DUMMYFUNCTION("REGEXEXTRACT($B531, $E$2)"),"ius")</f>
        <v>ius</v>
      </c>
      <c r="E531" s="4"/>
      <c r="F531" s="4"/>
      <c r="G531" s="4"/>
      <c r="H531" s="4"/>
      <c r="I531" s="4"/>
      <c r="J531" s="4"/>
      <c r="K531" s="4"/>
      <c r="L531" s="4"/>
      <c r="M531" s="4"/>
      <c r="N531" s="4"/>
      <c r="O531" s="4"/>
      <c r="P531" s="4"/>
      <c r="Q531" s="4"/>
      <c r="R531" s="4"/>
      <c r="S531" s="4"/>
      <c r="T531" s="4"/>
      <c r="U531" s="4"/>
      <c r="V531" s="4"/>
      <c r="W531" s="4"/>
      <c r="X531" s="4"/>
      <c r="Y531" s="4"/>
      <c r="Z531" s="4"/>
    </row>
    <row r="532" spans="1:26" ht="15.75" customHeight="1" x14ac:dyDescent="0.2">
      <c r="A532" s="1" t="s">
        <v>1060</v>
      </c>
      <c r="B532" s="1" t="s">
        <v>1061</v>
      </c>
      <c r="C532" s="5" t="str">
        <f ca="1">IFERROR(__xludf.DUMMYFUNCTION("REGEXEXTRACT($B532, $E$2)"),"indwes")</f>
        <v>indwes</v>
      </c>
      <c r="E532" s="4"/>
      <c r="F532" s="4"/>
      <c r="G532" s="4"/>
      <c r="H532" s="4"/>
      <c r="I532" s="4"/>
      <c r="J532" s="4"/>
      <c r="K532" s="4"/>
      <c r="L532" s="4"/>
      <c r="M532" s="4"/>
      <c r="N532" s="4"/>
      <c r="O532" s="4"/>
      <c r="P532" s="4"/>
      <c r="Q532" s="4"/>
      <c r="R532" s="4"/>
      <c r="S532" s="4"/>
      <c r="T532" s="4"/>
      <c r="U532" s="4"/>
      <c r="V532" s="4"/>
      <c r="W532" s="4"/>
      <c r="X532" s="4"/>
      <c r="Y532" s="4"/>
      <c r="Z532" s="4"/>
    </row>
    <row r="533" spans="1:26" ht="15.75" customHeight="1" x14ac:dyDescent="0.2">
      <c r="A533" s="1" t="s">
        <v>1062</v>
      </c>
      <c r="B533" s="1" t="s">
        <v>1063</v>
      </c>
      <c r="C533" s="5" t="str">
        <f ca="1">IFERROR(__xludf.DUMMYFUNCTION("REGEXEXTRACT($B533, $E$2)"),"iaia")</f>
        <v>iaia</v>
      </c>
      <c r="E533" s="4"/>
      <c r="F533" s="4"/>
      <c r="G533" s="4"/>
      <c r="H533" s="4"/>
      <c r="I533" s="4"/>
      <c r="J533" s="4"/>
      <c r="K533" s="4"/>
      <c r="L533" s="4"/>
      <c r="M533" s="4"/>
      <c r="N533" s="4"/>
      <c r="O533" s="4"/>
      <c r="P533" s="4"/>
      <c r="Q533" s="4"/>
      <c r="R533" s="4"/>
      <c r="S533" s="4"/>
      <c r="T533" s="4"/>
      <c r="U533" s="4"/>
      <c r="V533" s="4"/>
      <c r="W533" s="4"/>
      <c r="X533" s="4"/>
      <c r="Y533" s="4"/>
      <c r="Z533" s="4"/>
    </row>
    <row r="534" spans="1:26" ht="15.75" customHeight="1" x14ac:dyDescent="0.2">
      <c r="A534" s="1" t="s">
        <v>1064</v>
      </c>
      <c r="B534" s="1" t="s">
        <v>1065</v>
      </c>
      <c r="C534" s="5" t="str">
        <f ca="1">IFERROR(__xludf.DUMMYFUNCTION("REGEXEXTRACT($B534, $E$2)"),"inter")</f>
        <v>inter</v>
      </c>
      <c r="E534" s="4"/>
      <c r="F534" s="4"/>
      <c r="G534" s="4"/>
      <c r="H534" s="4"/>
      <c r="I534" s="4"/>
      <c r="J534" s="4"/>
      <c r="K534" s="4"/>
      <c r="L534" s="4"/>
      <c r="M534" s="4"/>
      <c r="N534" s="4"/>
      <c r="O534" s="4"/>
      <c r="P534" s="4"/>
      <c r="Q534" s="4"/>
      <c r="R534" s="4"/>
      <c r="S534" s="4"/>
      <c r="T534" s="4"/>
      <c r="U534" s="4"/>
      <c r="V534" s="4"/>
      <c r="W534" s="4"/>
      <c r="X534" s="4"/>
      <c r="Y534" s="4"/>
      <c r="Z534" s="4"/>
    </row>
    <row r="535" spans="1:26" ht="15.75" customHeight="1" x14ac:dyDescent="0.2">
      <c r="A535" s="1" t="s">
        <v>1066</v>
      </c>
      <c r="B535" s="1" t="s">
        <v>1067</v>
      </c>
      <c r="C535" s="5" t="str">
        <f ca="1">IFERROR(__xludf.DUMMYFUNCTION("REGEXEXTRACT($B535, $E$2)"),"intersg")</f>
        <v>intersg</v>
      </c>
      <c r="E535" s="4"/>
      <c r="F535" s="4"/>
      <c r="G535" s="4"/>
      <c r="H535" s="4"/>
      <c r="I535" s="4"/>
      <c r="J535" s="4"/>
      <c r="K535" s="4"/>
      <c r="L535" s="4"/>
      <c r="M535" s="4"/>
      <c r="N535" s="4"/>
      <c r="O535" s="4"/>
      <c r="P535" s="4"/>
      <c r="Q535" s="4"/>
      <c r="R535" s="4"/>
      <c r="S535" s="4"/>
      <c r="T535" s="4"/>
      <c r="U535" s="4"/>
      <c r="V535" s="4"/>
      <c r="W535" s="4"/>
      <c r="X535" s="4"/>
      <c r="Y535" s="4"/>
      <c r="Z535" s="4"/>
    </row>
    <row r="536" spans="1:26" ht="15.75" customHeight="1" x14ac:dyDescent="0.2">
      <c r="A536" s="1" t="s">
        <v>1068</v>
      </c>
      <c r="B536" s="1" t="s">
        <v>1069</v>
      </c>
      <c r="C536" s="5" t="str">
        <f ca="1">IFERROR(__xludf.DUMMYFUNCTION("REGEXEXTRACT($B536, $E$2)"),"iona")</f>
        <v>iona</v>
      </c>
      <c r="E536" s="4"/>
      <c r="F536" s="4"/>
      <c r="G536" s="4"/>
      <c r="H536" s="4"/>
      <c r="I536" s="4"/>
      <c r="J536" s="4"/>
      <c r="K536" s="4"/>
      <c r="L536" s="4"/>
      <c r="M536" s="4"/>
      <c r="N536" s="4"/>
      <c r="O536" s="4"/>
      <c r="P536" s="4"/>
      <c r="Q536" s="4"/>
      <c r="R536" s="4"/>
      <c r="S536" s="4"/>
      <c r="T536" s="4"/>
      <c r="U536" s="4"/>
      <c r="V536" s="4"/>
      <c r="W536" s="4"/>
      <c r="X536" s="4"/>
      <c r="Y536" s="4"/>
      <c r="Z536" s="4"/>
    </row>
    <row r="537" spans="1:26" ht="15.75" customHeight="1" x14ac:dyDescent="0.2">
      <c r="A537" s="1" t="s">
        <v>1070</v>
      </c>
      <c r="B537" s="1" t="s">
        <v>1071</v>
      </c>
      <c r="C537" s="5" t="str">
        <f ca="1">IFERROR(__xludf.DUMMYFUNCTION("REGEXEXTRACT($B537, $E$2)"),"iastate")</f>
        <v>iastate</v>
      </c>
      <c r="E537" s="4"/>
      <c r="F537" s="4"/>
      <c r="G537" s="4"/>
      <c r="H537" s="4"/>
      <c r="I537" s="4"/>
      <c r="J537" s="4"/>
      <c r="K537" s="4"/>
      <c r="L537" s="4"/>
      <c r="M537" s="4"/>
      <c r="N537" s="4"/>
      <c r="O537" s="4"/>
      <c r="P537" s="4"/>
      <c r="Q537" s="4"/>
      <c r="R537" s="4"/>
      <c r="S537" s="4"/>
      <c r="T537" s="4"/>
      <c r="U537" s="4"/>
      <c r="V537" s="4"/>
      <c r="W537" s="4"/>
      <c r="X537" s="4"/>
      <c r="Y537" s="4"/>
      <c r="Z537" s="4"/>
    </row>
    <row r="538" spans="1:26" ht="15.75" customHeight="1" x14ac:dyDescent="0.2">
      <c r="A538" s="1" t="s">
        <v>1072</v>
      </c>
      <c r="B538" s="1" t="s">
        <v>1073</v>
      </c>
      <c r="C538" s="5" t="str">
        <f ca="1">IFERROR(__xludf.DUMMYFUNCTION("REGEXEXTRACT($B538, $E$2)"),"iw")</f>
        <v>iw</v>
      </c>
      <c r="E538" s="4"/>
      <c r="F538" s="4"/>
      <c r="G538" s="4"/>
      <c r="H538" s="4"/>
      <c r="I538" s="4"/>
      <c r="J538" s="4"/>
      <c r="K538" s="4"/>
      <c r="L538" s="4"/>
      <c r="M538" s="4"/>
      <c r="N538" s="4"/>
      <c r="O538" s="4"/>
      <c r="P538" s="4"/>
      <c r="Q538" s="4"/>
      <c r="R538" s="4"/>
      <c r="S538" s="4"/>
      <c r="T538" s="4"/>
      <c r="U538" s="4"/>
      <c r="V538" s="4"/>
      <c r="W538" s="4"/>
      <c r="X538" s="4"/>
      <c r="Y538" s="4"/>
      <c r="Z538" s="4"/>
    </row>
    <row r="539" spans="1:26" ht="15.75" customHeight="1" x14ac:dyDescent="0.2">
      <c r="A539" s="1" t="s">
        <v>1074</v>
      </c>
      <c r="B539" s="1" t="s">
        <v>1075</v>
      </c>
      <c r="C539" s="5" t="str">
        <f ca="1">IFERROR(__xludf.DUMMYFUNCTION("REGEXEXTRACT($B539, $E$2)"),"ipfw")</f>
        <v>ipfw</v>
      </c>
      <c r="E539" s="4"/>
      <c r="F539" s="4"/>
      <c r="G539" s="4"/>
      <c r="H539" s="4"/>
      <c r="I539" s="4"/>
      <c r="J539" s="4"/>
      <c r="K539" s="4"/>
      <c r="L539" s="4"/>
      <c r="M539" s="4"/>
      <c r="N539" s="4"/>
      <c r="O539" s="4"/>
      <c r="P539" s="4"/>
      <c r="Q539" s="4"/>
      <c r="R539" s="4"/>
      <c r="S539" s="4"/>
      <c r="T539" s="4"/>
      <c r="U539" s="4"/>
      <c r="V539" s="4"/>
      <c r="W539" s="4"/>
      <c r="X539" s="4"/>
      <c r="Y539" s="4"/>
      <c r="Z539" s="4"/>
    </row>
    <row r="540" spans="1:26" ht="15.75" customHeight="1" x14ac:dyDescent="0.2">
      <c r="A540" s="1" t="s">
        <v>1076</v>
      </c>
      <c r="B540" s="1" t="s">
        <v>1077</v>
      </c>
      <c r="C540" s="5" t="str">
        <f ca="1">IFERROR(__xludf.DUMMYFUNCTION("REGEXEXTRACT($B540, $E$2)"),"ithaca")</f>
        <v>ithaca</v>
      </c>
      <c r="E540" s="4"/>
      <c r="F540" s="4"/>
      <c r="G540" s="4"/>
      <c r="H540" s="4"/>
      <c r="I540" s="4"/>
      <c r="J540" s="4"/>
      <c r="K540" s="4"/>
      <c r="L540" s="4"/>
      <c r="M540" s="4"/>
      <c r="N540" s="4"/>
      <c r="O540" s="4"/>
      <c r="P540" s="4"/>
      <c r="Q540" s="4"/>
      <c r="R540" s="4"/>
      <c r="S540" s="4"/>
      <c r="T540" s="4"/>
      <c r="U540" s="4"/>
      <c r="V540" s="4"/>
      <c r="W540" s="4"/>
      <c r="X540" s="4"/>
      <c r="Y540" s="4"/>
      <c r="Z540" s="4"/>
    </row>
    <row r="541" spans="1:26" ht="15.75" customHeight="1" x14ac:dyDescent="0.2">
      <c r="A541" s="1" t="s">
        <v>1078</v>
      </c>
      <c r="B541" s="1" t="s">
        <v>1079</v>
      </c>
      <c r="C541" s="5" t="str">
        <f ca="1">IFERROR(__xludf.DUMMYFUNCTION("REGEXEXTRACT($B541, $E$2)"),"iupui")</f>
        <v>iupui</v>
      </c>
      <c r="E541" s="4"/>
      <c r="F541" s="4"/>
      <c r="G541" s="4"/>
      <c r="H541" s="4"/>
      <c r="I541" s="4"/>
      <c r="J541" s="4"/>
      <c r="K541" s="4"/>
      <c r="L541" s="4"/>
      <c r="M541" s="4"/>
      <c r="N541" s="4"/>
      <c r="O541" s="4"/>
      <c r="P541" s="4"/>
      <c r="Q541" s="4"/>
      <c r="R541" s="4"/>
      <c r="S541" s="4"/>
      <c r="T541" s="4"/>
      <c r="U541" s="4"/>
      <c r="V541" s="4"/>
      <c r="W541" s="4"/>
      <c r="X541" s="4"/>
      <c r="Y541" s="4"/>
      <c r="Z541" s="4"/>
    </row>
    <row r="542" spans="1:26" ht="15.75" customHeight="1" x14ac:dyDescent="0.2">
      <c r="A542" s="1" t="s">
        <v>1080</v>
      </c>
      <c r="B542" s="1" t="s">
        <v>1081</v>
      </c>
      <c r="C542" s="5" t="str">
        <f ca="1">IFERROR(__xludf.DUMMYFUNCTION("REGEXEXTRACT($B542, $E$2)"),"jsums")</f>
        <v>jsums</v>
      </c>
      <c r="E542" s="4"/>
      <c r="F542" s="4"/>
      <c r="G542" s="4"/>
      <c r="H542" s="4"/>
      <c r="I542" s="4"/>
      <c r="J542" s="4"/>
      <c r="K542" s="4"/>
      <c r="L542" s="4"/>
      <c r="M542" s="4"/>
      <c r="N542" s="4"/>
      <c r="O542" s="4"/>
      <c r="P542" s="4"/>
      <c r="Q542" s="4"/>
      <c r="R542" s="4"/>
      <c r="S542" s="4"/>
      <c r="T542" s="4"/>
      <c r="U542" s="4"/>
      <c r="V542" s="4"/>
      <c r="W542" s="4"/>
      <c r="X542" s="4"/>
      <c r="Y542" s="4"/>
      <c r="Z542" s="4"/>
    </row>
    <row r="543" spans="1:26" ht="15.75" customHeight="1" x14ac:dyDescent="0.2">
      <c r="A543" s="1" t="s">
        <v>1082</v>
      </c>
      <c r="B543" s="1" t="s">
        <v>1083</v>
      </c>
      <c r="C543" s="5" t="str">
        <f ca="1">IFERROR(__xludf.DUMMYFUNCTION("REGEXEXTRACT($B543, $E$2)"),"jsu")</f>
        <v>jsu</v>
      </c>
      <c r="E543" s="4"/>
      <c r="F543" s="4"/>
      <c r="G543" s="4"/>
      <c r="H543" s="4"/>
      <c r="I543" s="4"/>
      <c r="J543" s="4"/>
      <c r="K543" s="4"/>
      <c r="L543" s="4"/>
      <c r="M543" s="4"/>
      <c r="N543" s="4"/>
      <c r="O543" s="4"/>
      <c r="P543" s="4"/>
      <c r="Q543" s="4"/>
      <c r="R543" s="4"/>
      <c r="S543" s="4"/>
      <c r="T543" s="4"/>
      <c r="U543" s="4"/>
      <c r="V543" s="4"/>
      <c r="W543" s="4"/>
      <c r="X543" s="4"/>
      <c r="Y543" s="4"/>
      <c r="Z543" s="4"/>
    </row>
    <row r="544" spans="1:26" ht="15.75" customHeight="1" x14ac:dyDescent="0.2">
      <c r="A544" s="1" t="s">
        <v>1084</v>
      </c>
      <c r="B544" s="1" t="s">
        <v>1085</v>
      </c>
      <c r="C544" s="5" t="str">
        <f ca="1">IFERROR(__xludf.DUMMYFUNCTION("REGEXEXTRACT($B544, $E$2)"),"ju")</f>
        <v>ju</v>
      </c>
      <c r="E544" s="4"/>
      <c r="F544" s="4"/>
      <c r="G544" s="4"/>
      <c r="H544" s="4"/>
      <c r="I544" s="4"/>
      <c r="J544" s="4"/>
      <c r="K544" s="4"/>
      <c r="L544" s="4"/>
      <c r="M544" s="4"/>
      <c r="N544" s="4"/>
      <c r="O544" s="4"/>
      <c r="P544" s="4"/>
      <c r="Q544" s="4"/>
      <c r="R544" s="4"/>
      <c r="S544" s="4"/>
      <c r="T544" s="4"/>
      <c r="U544" s="4"/>
      <c r="V544" s="4"/>
      <c r="W544" s="4"/>
      <c r="X544" s="4"/>
      <c r="Y544" s="4"/>
      <c r="Z544" s="4"/>
    </row>
    <row r="545" spans="1:26" ht="15.75" customHeight="1" x14ac:dyDescent="0.2">
      <c r="A545" s="1" t="s">
        <v>1086</v>
      </c>
      <c r="B545" s="1" t="s">
        <v>1087</v>
      </c>
      <c r="C545" s="5" t="str">
        <f ca="1">IFERROR(__xludf.DUMMYFUNCTION("REGEXEXTRACT($B545, $E$2)"),"jmu")</f>
        <v>jmu</v>
      </c>
      <c r="E545" s="4"/>
      <c r="F545" s="4"/>
      <c r="G545" s="4"/>
      <c r="H545" s="4"/>
      <c r="I545" s="4"/>
      <c r="J545" s="4"/>
      <c r="K545" s="4"/>
      <c r="L545" s="4"/>
      <c r="M545" s="4"/>
      <c r="N545" s="4"/>
      <c r="O545" s="4"/>
      <c r="P545" s="4"/>
      <c r="Q545" s="4"/>
      <c r="R545" s="4"/>
      <c r="S545" s="4"/>
      <c r="T545" s="4"/>
      <c r="U545" s="4"/>
      <c r="V545" s="4"/>
      <c r="W545" s="4"/>
      <c r="X545" s="4"/>
      <c r="Y545" s="4"/>
      <c r="Z545" s="4"/>
    </row>
    <row r="546" spans="1:26" ht="15.75" customHeight="1" x14ac:dyDescent="0.2">
      <c r="A546" s="1" t="s">
        <v>1088</v>
      </c>
      <c r="B546" s="1" t="s">
        <v>1089</v>
      </c>
      <c r="C546" s="5" t="str">
        <f ca="1">IFERROR(__xludf.DUMMYFUNCTION("REGEXEXTRACT($B546, $E$2)"),"jarvis")</f>
        <v>jarvis</v>
      </c>
      <c r="E546" s="4"/>
      <c r="F546" s="4"/>
      <c r="G546" s="4"/>
      <c r="H546" s="4"/>
      <c r="I546" s="4"/>
      <c r="J546" s="4"/>
      <c r="K546" s="4"/>
      <c r="L546" s="4"/>
      <c r="M546" s="4"/>
      <c r="N546" s="4"/>
      <c r="O546" s="4"/>
      <c r="P546" s="4"/>
      <c r="Q546" s="4"/>
      <c r="R546" s="4"/>
      <c r="S546" s="4"/>
      <c r="T546" s="4"/>
      <c r="U546" s="4"/>
      <c r="V546" s="4"/>
      <c r="W546" s="4"/>
      <c r="X546" s="4"/>
      <c r="Y546" s="4"/>
      <c r="Z546" s="4"/>
    </row>
    <row r="547" spans="1:26" ht="15.75" customHeight="1" x14ac:dyDescent="0.2">
      <c r="A547" s="1" t="s">
        <v>1090</v>
      </c>
      <c r="B547" s="1" t="s">
        <v>1091</v>
      </c>
      <c r="C547" s="5" t="str">
        <f ca="1">IFERROR(__xludf.DUMMYFUNCTION("REGEXEXTRACT($B547, $E$2)"),"jchs")</f>
        <v>jchs</v>
      </c>
      <c r="E547" s="4"/>
      <c r="F547" s="4"/>
      <c r="G547" s="4"/>
      <c r="H547" s="4"/>
      <c r="I547" s="4"/>
      <c r="J547" s="4"/>
      <c r="K547" s="4"/>
      <c r="L547" s="4"/>
      <c r="M547" s="4"/>
      <c r="N547" s="4"/>
      <c r="O547" s="4"/>
      <c r="P547" s="4"/>
      <c r="Q547" s="4"/>
      <c r="R547" s="4"/>
      <c r="S547" s="4"/>
      <c r="T547" s="4"/>
      <c r="U547" s="4"/>
      <c r="V547" s="4"/>
      <c r="W547" s="4"/>
      <c r="X547" s="4"/>
      <c r="Y547" s="4"/>
      <c r="Z547" s="4"/>
    </row>
    <row r="548" spans="1:26" ht="15.75" customHeight="1" x14ac:dyDescent="0.2">
      <c r="A548" s="1" t="s">
        <v>1092</v>
      </c>
      <c r="B548" s="1" t="s">
        <v>1093</v>
      </c>
      <c r="C548" s="5" t="str">
        <f ca="1">IFERROR(__xludf.DUMMYFUNCTION("REGEXEXTRACT($B548, $E$2)"),"philau")</f>
        <v>philau</v>
      </c>
      <c r="E548" s="4"/>
      <c r="F548" s="4"/>
      <c r="G548" s="4"/>
      <c r="H548" s="4"/>
      <c r="I548" s="4"/>
      <c r="J548" s="4"/>
      <c r="K548" s="4"/>
      <c r="L548" s="4"/>
      <c r="M548" s="4"/>
      <c r="N548" s="4"/>
      <c r="O548" s="4"/>
      <c r="P548" s="4"/>
      <c r="Q548" s="4"/>
      <c r="R548" s="4"/>
      <c r="S548" s="4"/>
      <c r="T548" s="4"/>
      <c r="U548" s="4"/>
      <c r="V548" s="4"/>
      <c r="W548" s="4"/>
      <c r="X548" s="4"/>
      <c r="Y548" s="4"/>
      <c r="Z548" s="4"/>
    </row>
    <row r="549" spans="1:26" ht="15.75" customHeight="1" x14ac:dyDescent="0.2">
      <c r="A549" s="1" t="s">
        <v>1094</v>
      </c>
      <c r="B549" s="1" t="s">
        <v>1095</v>
      </c>
      <c r="C549" s="5" t="str">
        <f ca="1">IFERROR(__xludf.DUMMYFUNCTION("REGEXEXTRACT($B549, $E$2)"),"jbu")</f>
        <v>jbu</v>
      </c>
      <c r="E549" s="4"/>
      <c r="F549" s="4"/>
      <c r="G549" s="4"/>
      <c r="H549" s="4"/>
      <c r="I549" s="4"/>
      <c r="J549" s="4"/>
      <c r="K549" s="4"/>
      <c r="L549" s="4"/>
      <c r="M549" s="4"/>
      <c r="N549" s="4"/>
      <c r="O549" s="4"/>
      <c r="P549" s="4"/>
      <c r="Q549" s="4"/>
      <c r="R549" s="4"/>
      <c r="S549" s="4"/>
      <c r="T549" s="4"/>
      <c r="U549" s="4"/>
      <c r="V549" s="4"/>
      <c r="W549" s="4"/>
      <c r="X549" s="4"/>
      <c r="Y549" s="4"/>
      <c r="Z549" s="4"/>
    </row>
    <row r="550" spans="1:26" ht="15.75" customHeight="1" x14ac:dyDescent="0.2">
      <c r="A550" s="1" t="s">
        <v>1096</v>
      </c>
      <c r="B550" s="1" t="s">
        <v>1097</v>
      </c>
      <c r="C550" s="5" t="str">
        <f ca="1">IFERROR(__xludf.DUMMYFUNCTION("REGEXEXTRACT($B550, $E$2)"),"johncabot")</f>
        <v>johncabot</v>
      </c>
      <c r="E550" s="4"/>
      <c r="F550" s="4"/>
      <c r="G550" s="4"/>
      <c r="H550" s="4"/>
      <c r="I550" s="4"/>
      <c r="J550" s="4"/>
      <c r="K550" s="4"/>
      <c r="L550" s="4"/>
      <c r="M550" s="4"/>
      <c r="N550" s="4"/>
      <c r="O550" s="4"/>
      <c r="P550" s="4"/>
      <c r="Q550" s="4"/>
      <c r="R550" s="4"/>
      <c r="S550" s="4"/>
      <c r="T550" s="4"/>
      <c r="U550" s="4"/>
      <c r="V550" s="4"/>
      <c r="W550" s="4"/>
      <c r="X550" s="4"/>
      <c r="Y550" s="4"/>
      <c r="Z550" s="4"/>
    </row>
    <row r="551" spans="1:26" ht="15.75" customHeight="1" x14ac:dyDescent="0.2">
      <c r="A551" s="1" t="s">
        <v>1098</v>
      </c>
      <c r="B551" s="1" t="s">
        <v>1099</v>
      </c>
      <c r="C551" s="5" t="str">
        <f ca="1">IFERROR(__xludf.DUMMYFUNCTION("REGEXEXTRACT($B551, $E$2)"),"jcu")</f>
        <v>jcu</v>
      </c>
      <c r="E551" s="4"/>
      <c r="F551" s="4"/>
      <c r="G551" s="4"/>
      <c r="H551" s="4"/>
      <c r="I551" s="4"/>
      <c r="J551" s="4"/>
      <c r="K551" s="4"/>
      <c r="L551" s="4"/>
      <c r="M551" s="4"/>
      <c r="N551" s="4"/>
      <c r="O551" s="4"/>
      <c r="P551" s="4"/>
      <c r="Q551" s="4"/>
      <c r="R551" s="4"/>
      <c r="S551" s="4"/>
      <c r="T551" s="4"/>
      <c r="U551" s="4"/>
      <c r="V551" s="4"/>
      <c r="W551" s="4"/>
      <c r="X551" s="4"/>
      <c r="Y551" s="4"/>
      <c r="Z551" s="4"/>
    </row>
    <row r="552" spans="1:26" ht="15.75" customHeight="1" x14ac:dyDescent="0.2">
      <c r="A552" s="1" t="s">
        <v>1100</v>
      </c>
      <c r="B552" s="1" t="s">
        <v>1101</v>
      </c>
      <c r="C552" s="5" t="str">
        <f ca="1">IFERROR(__xludf.DUMMYFUNCTION("REGEXEXTRACT($B552, $E$2)"),"johnwesley")</f>
        <v>johnwesley</v>
      </c>
      <c r="E552" s="4"/>
      <c r="F552" s="4"/>
      <c r="G552" s="4"/>
      <c r="H552" s="4"/>
      <c r="I552" s="4"/>
      <c r="J552" s="4"/>
      <c r="K552" s="4"/>
      <c r="L552" s="4"/>
      <c r="M552" s="4"/>
      <c r="N552" s="4"/>
      <c r="O552" s="4"/>
      <c r="P552" s="4"/>
      <c r="Q552" s="4"/>
      <c r="R552" s="4"/>
      <c r="S552" s="4"/>
      <c r="T552" s="4"/>
      <c r="U552" s="4"/>
      <c r="V552" s="4"/>
      <c r="W552" s="4"/>
      <c r="X552" s="4"/>
      <c r="Y552" s="4"/>
      <c r="Z552" s="4"/>
    </row>
    <row r="553" spans="1:26" ht="15.75" customHeight="1" x14ac:dyDescent="0.2">
      <c r="A553" s="1" t="s">
        <v>1102</v>
      </c>
      <c r="B553" s="1" t="s">
        <v>1103</v>
      </c>
      <c r="C553" s="5" t="str">
        <f ca="1">IFERROR(__xludf.DUMMYFUNCTION("REGEXEXTRACT($B553, $E$2)"),"jhu")</f>
        <v>jhu</v>
      </c>
      <c r="E553" s="4"/>
      <c r="F553" s="4"/>
      <c r="G553" s="4"/>
      <c r="H553" s="4"/>
      <c r="I553" s="4"/>
      <c r="J553" s="4"/>
      <c r="K553" s="4"/>
      <c r="L553" s="4"/>
      <c r="M553" s="4"/>
      <c r="N553" s="4"/>
      <c r="O553" s="4"/>
      <c r="P553" s="4"/>
      <c r="Q553" s="4"/>
      <c r="R553" s="4"/>
      <c r="S553" s="4"/>
      <c r="T553" s="4"/>
      <c r="U553" s="4"/>
      <c r="V553" s="4"/>
      <c r="W553" s="4"/>
      <c r="X553" s="4"/>
      <c r="Y553" s="4"/>
      <c r="Z553" s="4"/>
    </row>
    <row r="554" spans="1:26" ht="15.75" customHeight="1" x14ac:dyDescent="0.2">
      <c r="A554" s="1" t="s">
        <v>1104</v>
      </c>
      <c r="B554" s="1" t="s">
        <v>1105</v>
      </c>
      <c r="C554" s="5" t="str">
        <f ca="1">IFERROR(__xludf.DUMMYFUNCTION("REGEXEXTRACT($B554, $E$2)"),"jcsu")</f>
        <v>jcsu</v>
      </c>
      <c r="E554" s="4"/>
      <c r="F554" s="4"/>
      <c r="G554" s="4"/>
      <c r="H554" s="4"/>
      <c r="I554" s="4"/>
      <c r="J554" s="4"/>
      <c r="K554" s="4"/>
      <c r="L554" s="4"/>
      <c r="M554" s="4"/>
      <c r="N554" s="4"/>
      <c r="O554" s="4"/>
      <c r="P554" s="4"/>
      <c r="Q554" s="4"/>
      <c r="R554" s="4"/>
      <c r="S554" s="4"/>
      <c r="T554" s="4"/>
      <c r="U554" s="4"/>
      <c r="V554" s="4"/>
      <c r="W554" s="4"/>
      <c r="X554" s="4"/>
      <c r="Y554" s="4"/>
      <c r="Z554" s="4"/>
    </row>
    <row r="555" spans="1:26" ht="15.75" customHeight="1" x14ac:dyDescent="0.2">
      <c r="A555" s="1" t="s">
        <v>1106</v>
      </c>
      <c r="B555" s="1" t="s">
        <v>1107</v>
      </c>
      <c r="C555" s="5" t="str">
        <f ca="1">IFERROR(__xludf.DUMMYFUNCTION("REGEXEXTRACT($B555, $E$2)"),"johnsonu")</f>
        <v>johnsonu</v>
      </c>
      <c r="E555" s="4"/>
      <c r="F555" s="4"/>
      <c r="G555" s="4"/>
      <c r="H555" s="4"/>
      <c r="I555" s="4"/>
      <c r="J555" s="4"/>
      <c r="K555" s="4"/>
      <c r="L555" s="4"/>
      <c r="M555" s="4"/>
      <c r="N555" s="4"/>
      <c r="O555" s="4"/>
      <c r="P555" s="4"/>
      <c r="Q555" s="4"/>
      <c r="R555" s="4"/>
      <c r="S555" s="4"/>
      <c r="T555" s="4"/>
      <c r="U555" s="4"/>
      <c r="V555" s="4"/>
      <c r="W555" s="4"/>
      <c r="X555" s="4"/>
      <c r="Y555" s="4"/>
      <c r="Z555" s="4"/>
    </row>
    <row r="556" spans="1:26" ht="15.75" customHeight="1" x14ac:dyDescent="0.2">
      <c r="A556" s="1" t="s">
        <v>1108</v>
      </c>
      <c r="B556" s="1" t="s">
        <v>1109</v>
      </c>
      <c r="C556" s="5" t="str">
        <f ca="1">IFERROR(__xludf.DUMMYFUNCTION("REGEXEXTRACT($B556, $E$2)"),"jwu")</f>
        <v>jwu</v>
      </c>
      <c r="E556" s="4"/>
      <c r="F556" s="4"/>
      <c r="G556" s="4"/>
      <c r="H556" s="4"/>
      <c r="I556" s="4"/>
      <c r="J556" s="4"/>
      <c r="K556" s="4"/>
      <c r="L556" s="4"/>
      <c r="M556" s="4"/>
      <c r="N556" s="4"/>
      <c r="O556" s="4"/>
      <c r="P556" s="4"/>
      <c r="Q556" s="4"/>
      <c r="R556" s="4"/>
      <c r="S556" s="4"/>
      <c r="T556" s="4"/>
      <c r="U556" s="4"/>
      <c r="V556" s="4"/>
      <c r="W556" s="4"/>
      <c r="X556" s="4"/>
      <c r="Y556" s="4"/>
      <c r="Z556" s="4"/>
    </row>
    <row r="557" spans="1:26" ht="15.75" customHeight="1" x14ac:dyDescent="0.2">
      <c r="A557" s="1" t="s">
        <v>1110</v>
      </c>
      <c r="B557" s="1" t="s">
        <v>1111</v>
      </c>
      <c r="C557" s="5" t="str">
        <f ca="1">IFERROR(__xludf.DUMMYFUNCTION("REGEXEXTRACT($B557, $E$2)"),"judson")</f>
        <v>judson</v>
      </c>
      <c r="E557" s="4"/>
      <c r="F557" s="4"/>
      <c r="G557" s="4"/>
      <c r="H557" s="4"/>
      <c r="I557" s="4"/>
      <c r="J557" s="4"/>
      <c r="K557" s="4"/>
      <c r="L557" s="4"/>
      <c r="M557" s="4"/>
      <c r="N557" s="4"/>
      <c r="O557" s="4"/>
      <c r="P557" s="4"/>
      <c r="Q557" s="4"/>
      <c r="R557" s="4"/>
      <c r="S557" s="4"/>
      <c r="T557" s="4"/>
      <c r="U557" s="4"/>
      <c r="V557" s="4"/>
      <c r="W557" s="4"/>
      <c r="X557" s="4"/>
      <c r="Y557" s="4"/>
      <c r="Z557" s="4"/>
    </row>
    <row r="558" spans="1:26" ht="15.75" customHeight="1" x14ac:dyDescent="0.2">
      <c r="A558" s="1" t="s">
        <v>1112</v>
      </c>
      <c r="B558" s="1" t="s">
        <v>1113</v>
      </c>
      <c r="C558" s="5" t="str">
        <f ca="1">IFERROR(__xludf.DUMMYFUNCTION("REGEXEXTRACT($B558, $E$2)"),"judsonu")</f>
        <v>judsonu</v>
      </c>
      <c r="E558" s="4"/>
      <c r="F558" s="4"/>
      <c r="G558" s="4"/>
      <c r="H558" s="4"/>
      <c r="I558" s="4"/>
      <c r="J558" s="4"/>
      <c r="K558" s="4"/>
      <c r="L558" s="4"/>
      <c r="M558" s="4"/>
      <c r="N558" s="4"/>
      <c r="O558" s="4"/>
      <c r="P558" s="4"/>
      <c r="Q558" s="4"/>
      <c r="R558" s="4"/>
      <c r="S558" s="4"/>
      <c r="T558" s="4"/>
      <c r="U558" s="4"/>
      <c r="V558" s="4"/>
      <c r="W558" s="4"/>
      <c r="X558" s="4"/>
      <c r="Y558" s="4"/>
      <c r="Z558" s="4"/>
    </row>
    <row r="559" spans="1:26" ht="15.75" customHeight="1" x14ac:dyDescent="0.2">
      <c r="A559" s="1" t="s">
        <v>1114</v>
      </c>
      <c r="B559" s="1" t="s">
        <v>1115</v>
      </c>
      <c r="C559" s="5" t="str">
        <f ca="1">IFERROR(__xludf.DUMMYFUNCTION("REGEXEXTRACT($B559, $E$2)"),"juilliard")</f>
        <v>juilliard</v>
      </c>
      <c r="E559" s="4"/>
      <c r="F559" s="4"/>
      <c r="G559" s="4"/>
      <c r="H559" s="4"/>
      <c r="I559" s="4"/>
      <c r="J559" s="4"/>
      <c r="K559" s="4"/>
      <c r="L559" s="4"/>
      <c r="M559" s="4"/>
      <c r="N559" s="4"/>
      <c r="O559" s="4"/>
      <c r="P559" s="4"/>
      <c r="Q559" s="4"/>
      <c r="R559" s="4"/>
      <c r="S559" s="4"/>
      <c r="T559" s="4"/>
      <c r="U559" s="4"/>
      <c r="V559" s="4"/>
      <c r="W559" s="4"/>
      <c r="X559" s="4"/>
      <c r="Y559" s="4"/>
      <c r="Z559" s="4"/>
    </row>
    <row r="560" spans="1:26" ht="15.75" customHeight="1" x14ac:dyDescent="0.2">
      <c r="A560" s="1" t="s">
        <v>1116</v>
      </c>
      <c r="B560" s="1" t="s">
        <v>1117</v>
      </c>
      <c r="C560" s="5" t="str">
        <f ca="1">IFERROR(__xludf.DUMMYFUNCTION("REGEXEXTRACT($B560, $E$2)"),"juniata")</f>
        <v>juniata</v>
      </c>
      <c r="E560" s="4"/>
      <c r="F560" s="4"/>
      <c r="G560" s="4"/>
      <c r="H560" s="4"/>
      <c r="I560" s="4"/>
      <c r="J560" s="4"/>
      <c r="K560" s="4"/>
      <c r="L560" s="4"/>
      <c r="M560" s="4"/>
      <c r="N560" s="4"/>
      <c r="O560" s="4"/>
      <c r="P560" s="4"/>
      <c r="Q560" s="4"/>
      <c r="R560" s="4"/>
      <c r="S560" s="4"/>
      <c r="T560" s="4"/>
      <c r="U560" s="4"/>
      <c r="V560" s="4"/>
      <c r="W560" s="4"/>
      <c r="X560" s="4"/>
      <c r="Y560" s="4"/>
      <c r="Z560" s="4"/>
    </row>
    <row r="561" spans="1:26" ht="15.75" customHeight="1" x14ac:dyDescent="0.2">
      <c r="A561" s="1" t="s">
        <v>1118</v>
      </c>
      <c r="B561" s="1" t="s">
        <v>1119</v>
      </c>
      <c r="C561" s="5" t="str">
        <f ca="1">IFERROR(__xludf.DUMMYFUNCTION("REGEXEXTRACT($B561, $E$2)"),"kzoo")</f>
        <v>kzoo</v>
      </c>
      <c r="E561" s="4"/>
      <c r="F561" s="4"/>
      <c r="G561" s="4"/>
      <c r="H561" s="4"/>
      <c r="I561" s="4"/>
      <c r="J561" s="4"/>
      <c r="K561" s="4"/>
      <c r="L561" s="4"/>
      <c r="M561" s="4"/>
      <c r="N561" s="4"/>
      <c r="O561" s="4"/>
      <c r="P561" s="4"/>
      <c r="Q561" s="4"/>
      <c r="R561" s="4"/>
      <c r="S561" s="4"/>
      <c r="T561" s="4"/>
      <c r="U561" s="4"/>
      <c r="V561" s="4"/>
      <c r="W561" s="4"/>
      <c r="X561" s="4"/>
      <c r="Y561" s="4"/>
      <c r="Z561" s="4"/>
    </row>
    <row r="562" spans="1:26" ht="15.75" customHeight="1" x14ac:dyDescent="0.2">
      <c r="A562" s="1" t="s">
        <v>1120</v>
      </c>
      <c r="B562" s="1" t="s">
        <v>1121</v>
      </c>
      <c r="C562" s="5" t="str">
        <f ca="1">IFERROR(__xludf.DUMMYFUNCTION("REGEXEXTRACT($B562, $E$2)"),"kcai")</f>
        <v>kcai</v>
      </c>
      <c r="E562" s="4"/>
      <c r="F562" s="4"/>
      <c r="G562" s="4"/>
      <c r="H562" s="4"/>
      <c r="I562" s="4"/>
      <c r="J562" s="4"/>
      <c r="K562" s="4"/>
      <c r="L562" s="4"/>
      <c r="M562" s="4"/>
      <c r="N562" s="4"/>
      <c r="O562" s="4"/>
      <c r="P562" s="4"/>
      <c r="Q562" s="4"/>
      <c r="R562" s="4"/>
      <c r="S562" s="4"/>
      <c r="T562" s="4"/>
      <c r="U562" s="4"/>
      <c r="V562" s="4"/>
      <c r="W562" s="4"/>
      <c r="X562" s="4"/>
      <c r="Y562" s="4"/>
      <c r="Z562" s="4"/>
    </row>
    <row r="563" spans="1:26" ht="15.75" customHeight="1" x14ac:dyDescent="0.2">
      <c r="A563" s="1" t="s">
        <v>1122</v>
      </c>
      <c r="B563" s="1" t="s">
        <v>1123</v>
      </c>
      <c r="C563" s="5" t="str">
        <f ca="1">IFERROR(__xludf.DUMMYFUNCTION("REGEXEXTRACT($B563, $E$2)"),"k-state")</f>
        <v>k-state</v>
      </c>
      <c r="E563" s="4"/>
      <c r="F563" s="4"/>
      <c r="G563" s="4"/>
      <c r="H563" s="4"/>
      <c r="I563" s="4"/>
      <c r="J563" s="4"/>
      <c r="K563" s="4"/>
      <c r="L563" s="4"/>
      <c r="M563" s="4"/>
      <c r="N563" s="4"/>
      <c r="O563" s="4"/>
      <c r="P563" s="4"/>
      <c r="Q563" s="4"/>
      <c r="R563" s="4"/>
      <c r="S563" s="4"/>
      <c r="T563" s="4"/>
      <c r="U563" s="4"/>
      <c r="V563" s="4"/>
      <c r="W563" s="4"/>
      <c r="X563" s="4"/>
      <c r="Y563" s="4"/>
      <c r="Z563" s="4"/>
    </row>
    <row r="564" spans="1:26" ht="15.75" customHeight="1" x14ac:dyDescent="0.2">
      <c r="A564" s="1" t="s">
        <v>1124</v>
      </c>
      <c r="B564" s="1" t="s">
        <v>1125</v>
      </c>
      <c r="C564" s="5" t="str">
        <f ca="1">IFERROR(__xludf.DUMMYFUNCTION("REGEXEXTRACT($B564, $E$2)"),"kean")</f>
        <v>kean</v>
      </c>
      <c r="E564" s="4"/>
      <c r="F564" s="4"/>
      <c r="G564" s="4"/>
      <c r="H564" s="4"/>
      <c r="I564" s="4"/>
      <c r="J564" s="4"/>
      <c r="K564" s="4"/>
      <c r="L564" s="4"/>
      <c r="M564" s="4"/>
      <c r="N564" s="4"/>
      <c r="O564" s="4"/>
      <c r="P564" s="4"/>
      <c r="Q564" s="4"/>
      <c r="R564" s="4"/>
      <c r="S564" s="4"/>
      <c r="T564" s="4"/>
      <c r="U564" s="4"/>
      <c r="V564" s="4"/>
      <c r="W564" s="4"/>
      <c r="X564" s="4"/>
      <c r="Y564" s="4"/>
      <c r="Z564" s="4"/>
    </row>
    <row r="565" spans="1:26" ht="15.75" customHeight="1" x14ac:dyDescent="0.2">
      <c r="A565" s="1" t="s">
        <v>1126</v>
      </c>
      <c r="B565" s="1" t="s">
        <v>1127</v>
      </c>
      <c r="C565" s="5" t="str">
        <f ca="1">IFERROR(__xludf.DUMMYFUNCTION("REGEXEXTRACT($B565, $E$2)"),"keene")</f>
        <v>keene</v>
      </c>
      <c r="E565" s="4"/>
      <c r="F565" s="4"/>
      <c r="G565" s="4"/>
      <c r="H565" s="4"/>
      <c r="I565" s="4"/>
      <c r="J565" s="4"/>
      <c r="K565" s="4"/>
      <c r="L565" s="4"/>
      <c r="M565" s="4"/>
      <c r="N565" s="4"/>
      <c r="O565" s="4"/>
      <c r="P565" s="4"/>
      <c r="Q565" s="4"/>
      <c r="R565" s="4"/>
      <c r="S565" s="4"/>
      <c r="T565" s="4"/>
      <c r="U565" s="4"/>
      <c r="V565" s="4"/>
      <c r="W565" s="4"/>
      <c r="X565" s="4"/>
      <c r="Y565" s="4"/>
      <c r="Z565" s="4"/>
    </row>
    <row r="566" spans="1:26" ht="15.75" customHeight="1" x14ac:dyDescent="0.2">
      <c r="A566" s="1" t="s">
        <v>1128</v>
      </c>
      <c r="B566" s="1" t="s">
        <v>1129</v>
      </c>
      <c r="C566" s="5" t="str">
        <f ca="1">IFERROR(__xludf.DUMMYFUNCTION("REGEXEXTRACT($B566, $E$2)"),"kendall")</f>
        <v>kendall</v>
      </c>
      <c r="E566" s="4"/>
      <c r="F566" s="4"/>
      <c r="G566" s="4"/>
      <c r="H566" s="4"/>
      <c r="I566" s="4"/>
      <c r="J566" s="4"/>
      <c r="K566" s="4"/>
      <c r="L566" s="4"/>
      <c r="M566" s="4"/>
      <c r="N566" s="4"/>
      <c r="O566" s="4"/>
      <c r="P566" s="4"/>
      <c r="Q566" s="4"/>
      <c r="R566" s="4"/>
      <c r="S566" s="4"/>
      <c r="T566" s="4"/>
      <c r="U566" s="4"/>
      <c r="V566" s="4"/>
      <c r="W566" s="4"/>
      <c r="X566" s="4"/>
      <c r="Y566" s="4"/>
      <c r="Z566" s="4"/>
    </row>
    <row r="567" spans="1:26" ht="15.75" customHeight="1" x14ac:dyDescent="0.2">
      <c r="A567" s="1" t="s">
        <v>1130</v>
      </c>
      <c r="B567" s="1" t="s">
        <v>1131</v>
      </c>
      <c r="C567" s="5" t="str">
        <f ca="1">IFERROR(__xludf.DUMMYFUNCTION("REGEXEXTRACT($B567, $E$2)"),"kennesaw")</f>
        <v>kennesaw</v>
      </c>
      <c r="E567" s="4"/>
      <c r="F567" s="4"/>
      <c r="G567" s="4"/>
      <c r="H567" s="4"/>
      <c r="I567" s="4"/>
      <c r="J567" s="4"/>
      <c r="K567" s="4"/>
      <c r="L567" s="4"/>
      <c r="M567" s="4"/>
      <c r="N567" s="4"/>
      <c r="O567" s="4"/>
      <c r="P567" s="4"/>
      <c r="Q567" s="4"/>
      <c r="R567" s="4"/>
      <c r="S567" s="4"/>
      <c r="T567" s="4"/>
      <c r="U567" s="4"/>
      <c r="V567" s="4"/>
      <c r="W567" s="4"/>
      <c r="X567" s="4"/>
      <c r="Y567" s="4"/>
      <c r="Z567" s="4"/>
    </row>
    <row r="568" spans="1:26" ht="15.75" customHeight="1" x14ac:dyDescent="0.2">
      <c r="A568" s="1" t="s">
        <v>1132</v>
      </c>
      <c r="B568" s="1" t="s">
        <v>1133</v>
      </c>
      <c r="C568" s="5" t="str">
        <f ca="1">IFERROR(__xludf.DUMMYFUNCTION("REGEXEXTRACT($B568, $E$2)"),"kent")</f>
        <v>kent</v>
      </c>
      <c r="E568" s="4"/>
      <c r="F568" s="4"/>
      <c r="G568" s="4"/>
      <c r="H568" s="4"/>
      <c r="I568" s="4"/>
      <c r="J568" s="4"/>
      <c r="K568" s="4"/>
      <c r="L568" s="4"/>
      <c r="M568" s="4"/>
      <c r="N568" s="4"/>
      <c r="O568" s="4"/>
      <c r="P568" s="4"/>
      <c r="Q568" s="4"/>
      <c r="R568" s="4"/>
      <c r="S568" s="4"/>
      <c r="T568" s="4"/>
      <c r="U568" s="4"/>
      <c r="V568" s="4"/>
      <c r="W568" s="4"/>
      <c r="X568" s="4"/>
      <c r="Y568" s="4"/>
      <c r="Z568" s="4"/>
    </row>
    <row r="569" spans="1:26" ht="15.75" customHeight="1" x14ac:dyDescent="0.2">
      <c r="A569" s="1" t="s">
        <v>1134</v>
      </c>
      <c r="B569" s="1" t="s">
        <v>1135</v>
      </c>
      <c r="C569" s="5" t="str">
        <f ca="1">IFERROR(__xludf.DUMMYFUNCTION("REGEXEXTRACT($B569, $E$2)"),"kcu")</f>
        <v>kcu</v>
      </c>
      <c r="E569" s="4"/>
      <c r="F569" s="4"/>
      <c r="G569" s="4"/>
      <c r="H569" s="4"/>
      <c r="I569" s="4"/>
      <c r="J569" s="4"/>
      <c r="K569" s="4"/>
      <c r="L569" s="4"/>
      <c r="M569" s="4"/>
      <c r="N569" s="4"/>
      <c r="O569" s="4"/>
      <c r="P569" s="4"/>
      <c r="Q569" s="4"/>
      <c r="R569" s="4"/>
      <c r="S569" s="4"/>
      <c r="T569" s="4"/>
      <c r="U569" s="4"/>
      <c r="V569" s="4"/>
      <c r="W569" s="4"/>
      <c r="X569" s="4"/>
      <c r="Y569" s="4"/>
      <c r="Z569" s="4"/>
    </row>
    <row r="570" spans="1:26" ht="15.75" customHeight="1" x14ac:dyDescent="0.2">
      <c r="A570" s="1" t="s">
        <v>1136</v>
      </c>
      <c r="B570" s="1" t="s">
        <v>1137</v>
      </c>
      <c r="C570" s="5" t="str">
        <f ca="1">IFERROR(__xludf.DUMMYFUNCTION("REGEXEXTRACT($B570, $E$2)"),"kmbc")</f>
        <v>kmbc</v>
      </c>
      <c r="E570" s="4"/>
      <c r="F570" s="4"/>
      <c r="G570" s="4"/>
      <c r="H570" s="4"/>
      <c r="I570" s="4"/>
      <c r="J570" s="4"/>
      <c r="K570" s="4"/>
      <c r="L570" s="4"/>
      <c r="M570" s="4"/>
      <c r="N570" s="4"/>
      <c r="O570" s="4"/>
      <c r="P570" s="4"/>
      <c r="Q570" s="4"/>
      <c r="R570" s="4"/>
      <c r="S570" s="4"/>
      <c r="T570" s="4"/>
      <c r="U570" s="4"/>
      <c r="V570" s="4"/>
      <c r="W570" s="4"/>
      <c r="X570" s="4"/>
      <c r="Y570" s="4"/>
      <c r="Z570" s="4"/>
    </row>
    <row r="571" spans="1:26" ht="15.75" customHeight="1" x14ac:dyDescent="0.2">
      <c r="A571" s="1" t="s">
        <v>1138</v>
      </c>
      <c r="B571" s="1" t="s">
        <v>1139</v>
      </c>
      <c r="C571" s="5" t="str">
        <f ca="1">IFERROR(__xludf.DUMMYFUNCTION("REGEXEXTRACT($B571, $E$2)"),"kysu")</f>
        <v>kysu</v>
      </c>
      <c r="E571" s="4"/>
      <c r="F571" s="4"/>
      <c r="G571" s="4"/>
      <c r="H571" s="4"/>
      <c r="I571" s="4"/>
      <c r="J571" s="4"/>
      <c r="K571" s="4"/>
      <c r="L571" s="4"/>
      <c r="M571" s="4"/>
      <c r="N571" s="4"/>
      <c r="O571" s="4"/>
      <c r="P571" s="4"/>
      <c r="Q571" s="4"/>
      <c r="R571" s="4"/>
      <c r="S571" s="4"/>
      <c r="T571" s="4"/>
      <c r="U571" s="4"/>
      <c r="V571" s="4"/>
      <c r="W571" s="4"/>
      <c r="X571" s="4"/>
      <c r="Y571" s="4"/>
      <c r="Z571" s="4"/>
    </row>
    <row r="572" spans="1:26" ht="15.75" customHeight="1" x14ac:dyDescent="0.2">
      <c r="A572" s="1" t="s">
        <v>1140</v>
      </c>
      <c r="B572" s="1" t="s">
        <v>1141</v>
      </c>
      <c r="C572" s="5" t="str">
        <f ca="1">IFERROR(__xludf.DUMMYFUNCTION("REGEXEXTRACT($B572, $E$2)"),"kwc")</f>
        <v>kwc</v>
      </c>
      <c r="E572" s="4"/>
      <c r="F572" s="4"/>
      <c r="G572" s="4"/>
      <c r="H572" s="4"/>
      <c r="I572" s="4"/>
      <c r="J572" s="4"/>
      <c r="K572" s="4"/>
      <c r="L572" s="4"/>
      <c r="M572" s="4"/>
      <c r="N572" s="4"/>
      <c r="O572" s="4"/>
      <c r="P572" s="4"/>
      <c r="Q572" s="4"/>
      <c r="R572" s="4"/>
      <c r="S572" s="4"/>
      <c r="T572" s="4"/>
      <c r="U572" s="4"/>
      <c r="V572" s="4"/>
      <c r="W572" s="4"/>
      <c r="X572" s="4"/>
      <c r="Y572" s="4"/>
      <c r="Z572" s="4"/>
    </row>
    <row r="573" spans="1:26" ht="15.75" customHeight="1" x14ac:dyDescent="0.2">
      <c r="A573" s="1" t="s">
        <v>1142</v>
      </c>
      <c r="B573" s="1" t="s">
        <v>1143</v>
      </c>
      <c r="C573" s="5" t="str">
        <f ca="1">IFERROR(__xludf.DUMMYFUNCTION("REGEXEXTRACT($B573, $E$2)"),"kenyon")</f>
        <v>kenyon</v>
      </c>
      <c r="E573" s="4"/>
      <c r="F573" s="4"/>
      <c r="G573" s="4"/>
      <c r="H573" s="4"/>
      <c r="I573" s="4"/>
      <c r="J573" s="4"/>
      <c r="K573" s="4"/>
      <c r="L573" s="4"/>
      <c r="M573" s="4"/>
      <c r="N573" s="4"/>
      <c r="O573" s="4"/>
      <c r="P573" s="4"/>
      <c r="Q573" s="4"/>
      <c r="R573" s="4"/>
      <c r="S573" s="4"/>
      <c r="T573" s="4"/>
      <c r="U573" s="4"/>
      <c r="V573" s="4"/>
      <c r="W573" s="4"/>
      <c r="X573" s="4"/>
      <c r="Y573" s="4"/>
      <c r="Z573" s="4"/>
    </row>
    <row r="574" spans="1:26" ht="15.75" customHeight="1" x14ac:dyDescent="0.2">
      <c r="A574" s="1" t="s">
        <v>1144</v>
      </c>
      <c r="B574" s="1" t="s">
        <v>1145</v>
      </c>
      <c r="C574" s="5" t="str">
        <f ca="1">IFERROR(__xludf.DUMMYFUNCTION("REGEXEXTRACT($B574, $E$2)"),"kettering")</f>
        <v>kettering</v>
      </c>
      <c r="E574" s="4"/>
      <c r="F574" s="4"/>
      <c r="G574" s="4"/>
      <c r="H574" s="4"/>
      <c r="I574" s="4"/>
      <c r="J574" s="4"/>
      <c r="K574" s="4"/>
      <c r="L574" s="4"/>
      <c r="M574" s="4"/>
      <c r="N574" s="4"/>
      <c r="O574" s="4"/>
      <c r="P574" s="4"/>
      <c r="Q574" s="4"/>
      <c r="R574" s="4"/>
      <c r="S574" s="4"/>
      <c r="T574" s="4"/>
      <c r="U574" s="4"/>
      <c r="V574" s="4"/>
      <c r="W574" s="4"/>
      <c r="X574" s="4"/>
      <c r="Y574" s="4"/>
      <c r="Z574" s="4"/>
    </row>
    <row r="575" spans="1:26" ht="15.75" customHeight="1" x14ac:dyDescent="0.2">
      <c r="A575" s="1" t="s">
        <v>1146</v>
      </c>
      <c r="B575" s="1" t="s">
        <v>1147</v>
      </c>
      <c r="C575" s="5" t="str">
        <f ca="1">IFERROR(__xludf.DUMMYFUNCTION("REGEXEXTRACT($B575, $E$2)"),"keuka")</f>
        <v>keuka</v>
      </c>
      <c r="E575" s="4"/>
      <c r="F575" s="4"/>
      <c r="G575" s="4"/>
      <c r="H575" s="4"/>
      <c r="I575" s="4"/>
      <c r="J575" s="4"/>
      <c r="K575" s="4"/>
      <c r="L575" s="4"/>
      <c r="M575" s="4"/>
      <c r="N575" s="4"/>
      <c r="O575" s="4"/>
      <c r="P575" s="4"/>
      <c r="Q575" s="4"/>
      <c r="R575" s="4"/>
      <c r="S575" s="4"/>
      <c r="T575" s="4"/>
      <c r="U575" s="4"/>
      <c r="V575" s="4"/>
      <c r="W575" s="4"/>
      <c r="X575" s="4"/>
      <c r="Y575" s="4"/>
      <c r="Z575" s="4"/>
    </row>
    <row r="576" spans="1:26" ht="15.75" customHeight="1" x14ac:dyDescent="0.2">
      <c r="A576" s="1" t="s">
        <v>1148</v>
      </c>
      <c r="B576" s="1" t="s">
        <v>1149</v>
      </c>
      <c r="C576" s="5" t="str">
        <f ca="1">IFERROR(__xludf.DUMMYFUNCTION("REGEXEXTRACT($B576, $E$2)"),"keystone")</f>
        <v>keystone</v>
      </c>
      <c r="E576" s="4"/>
      <c r="F576" s="4"/>
      <c r="G576" s="4"/>
      <c r="H576" s="4"/>
      <c r="I576" s="4"/>
      <c r="J576" s="4"/>
      <c r="K576" s="4"/>
      <c r="L576" s="4"/>
      <c r="M576" s="4"/>
      <c r="N576" s="4"/>
      <c r="O576" s="4"/>
      <c r="P576" s="4"/>
      <c r="Q576" s="4"/>
      <c r="R576" s="4"/>
      <c r="S576" s="4"/>
      <c r="T576" s="4"/>
      <c r="U576" s="4"/>
      <c r="V576" s="4"/>
      <c r="W576" s="4"/>
      <c r="X576" s="4"/>
      <c r="Y576" s="4"/>
      <c r="Z576" s="4"/>
    </row>
    <row r="577" spans="1:26" ht="15.75" customHeight="1" x14ac:dyDescent="0.2">
      <c r="A577" s="1" t="s">
        <v>1150</v>
      </c>
      <c r="B577" s="1" t="s">
        <v>1151</v>
      </c>
      <c r="C577" s="5" t="str">
        <f ca="1">IFERROR(__xludf.DUMMYFUNCTION("REGEXEXTRACT($B577, $E$2)"),"king")</f>
        <v>king</v>
      </c>
      <c r="E577" s="4"/>
      <c r="F577" s="4"/>
      <c r="G577" s="4"/>
      <c r="H577" s="4"/>
      <c r="I577" s="4"/>
      <c r="J577" s="4"/>
      <c r="K577" s="4"/>
      <c r="L577" s="4"/>
      <c r="M577" s="4"/>
      <c r="N577" s="4"/>
      <c r="O577" s="4"/>
      <c r="P577" s="4"/>
      <c r="Q577" s="4"/>
      <c r="R577" s="4"/>
      <c r="S577" s="4"/>
      <c r="T577" s="4"/>
      <c r="U577" s="4"/>
      <c r="V577" s="4"/>
      <c r="W577" s="4"/>
      <c r="X577" s="4"/>
      <c r="Y577" s="4"/>
      <c r="Z577" s="4"/>
    </row>
    <row r="578" spans="1:26" ht="15.75" customHeight="1" x14ac:dyDescent="0.2">
      <c r="A578" s="1" t="s">
        <v>1152</v>
      </c>
      <c r="B578" s="1" t="s">
        <v>1153</v>
      </c>
      <c r="C578" s="5" t="str">
        <f ca="1">IFERROR(__xludf.DUMMYFUNCTION("REGEXEXTRACT($B578, $E$2)"),"kings")</f>
        <v>kings</v>
      </c>
      <c r="E578" s="4"/>
      <c r="F578" s="4"/>
      <c r="G578" s="4"/>
      <c r="H578" s="4"/>
      <c r="I578" s="4"/>
      <c r="J578" s="4"/>
      <c r="K578" s="4"/>
      <c r="L578" s="4"/>
      <c r="M578" s="4"/>
      <c r="N578" s="4"/>
      <c r="O578" s="4"/>
      <c r="P578" s="4"/>
      <c r="Q578" s="4"/>
      <c r="R578" s="4"/>
      <c r="S578" s="4"/>
      <c r="T578" s="4"/>
      <c r="U578" s="4"/>
      <c r="V578" s="4"/>
      <c r="W578" s="4"/>
      <c r="X578" s="4"/>
      <c r="Y578" s="4"/>
      <c r="Z578" s="4"/>
    </row>
    <row r="579" spans="1:26" ht="15.75" customHeight="1" x14ac:dyDescent="0.2">
      <c r="A579" s="1" t="s">
        <v>1154</v>
      </c>
      <c r="B579" s="1" t="s">
        <v>1155</v>
      </c>
      <c r="C579" s="5" t="str">
        <f ca="1">IFERROR(__xludf.DUMMYFUNCTION("REGEXEXTRACT($B579, $E$2)"),"knox")</f>
        <v>knox</v>
      </c>
      <c r="E579" s="4"/>
      <c r="F579" s="4"/>
      <c r="G579" s="4"/>
      <c r="H579" s="4"/>
      <c r="I579" s="4"/>
      <c r="J579" s="4"/>
      <c r="K579" s="4"/>
      <c r="L579" s="4"/>
      <c r="M579" s="4"/>
      <c r="N579" s="4"/>
      <c r="O579" s="4"/>
      <c r="P579" s="4"/>
      <c r="Q579" s="4"/>
      <c r="R579" s="4"/>
      <c r="S579" s="4"/>
      <c r="T579" s="4"/>
      <c r="U579" s="4"/>
      <c r="V579" s="4"/>
      <c r="W579" s="4"/>
      <c r="X579" s="4"/>
      <c r="Y579" s="4"/>
      <c r="Z579" s="4"/>
    </row>
    <row r="580" spans="1:26" ht="15.75" customHeight="1" x14ac:dyDescent="0.2">
      <c r="A580" s="1" t="s">
        <v>1156</v>
      </c>
      <c r="B580" s="1" t="s">
        <v>1157</v>
      </c>
      <c r="C580" s="5" t="str">
        <f ca="1">IFERROR(__xludf.DUMMYFUNCTION("REGEXEXTRACT($B580, $E$2)"),"kutztown")</f>
        <v>kutztown</v>
      </c>
      <c r="E580" s="4"/>
      <c r="F580" s="4"/>
      <c r="G580" s="4"/>
      <c r="H580" s="4"/>
      <c r="I580" s="4"/>
      <c r="J580" s="4"/>
      <c r="K580" s="4"/>
      <c r="L580" s="4"/>
      <c r="M580" s="4"/>
      <c r="N580" s="4"/>
      <c r="O580" s="4"/>
      <c r="P580" s="4"/>
      <c r="Q580" s="4"/>
      <c r="R580" s="4"/>
      <c r="S580" s="4"/>
      <c r="T580" s="4"/>
      <c r="U580" s="4"/>
      <c r="V580" s="4"/>
      <c r="W580" s="4"/>
      <c r="X580" s="4"/>
      <c r="Y580" s="4"/>
      <c r="Z580" s="4"/>
    </row>
    <row r="581" spans="1:26" ht="15.75" customHeight="1" x14ac:dyDescent="0.2">
      <c r="A581" s="1" t="s">
        <v>1158</v>
      </c>
      <c r="B581" s="1" t="s">
        <v>1159</v>
      </c>
      <c r="C581" s="5" t="str">
        <f ca="1">IFERROR(__xludf.DUMMYFUNCTION("REGEXEXTRACT($B581, $E$2)"),"kuyper")</f>
        <v>kuyper</v>
      </c>
      <c r="E581" s="4"/>
      <c r="F581" s="4"/>
      <c r="G581" s="4"/>
      <c r="H581" s="4"/>
      <c r="I581" s="4"/>
      <c r="J581" s="4"/>
      <c r="K581" s="4"/>
      <c r="L581" s="4"/>
      <c r="M581" s="4"/>
      <c r="N581" s="4"/>
      <c r="O581" s="4"/>
      <c r="P581" s="4"/>
      <c r="Q581" s="4"/>
      <c r="R581" s="4"/>
      <c r="S581" s="4"/>
      <c r="T581" s="4"/>
      <c r="U581" s="4"/>
      <c r="V581" s="4"/>
      <c r="W581" s="4"/>
      <c r="X581" s="4"/>
      <c r="Y581" s="4"/>
      <c r="Z581" s="4"/>
    </row>
    <row r="582" spans="1:26" ht="15.75" customHeight="1" x14ac:dyDescent="0.2">
      <c r="A582" s="1" t="s">
        <v>1160</v>
      </c>
      <c r="B582" s="1" t="s">
        <v>1161</v>
      </c>
      <c r="C582" s="5" t="str">
        <f ca="1">IFERROR(__xludf.DUMMYFUNCTION("REGEXEXTRACT($B582, $E$2)"),"laroche")</f>
        <v>laroche</v>
      </c>
      <c r="E582" s="4"/>
      <c r="F582" s="4"/>
      <c r="G582" s="4"/>
      <c r="H582" s="4"/>
      <c r="I582" s="4"/>
      <c r="J582" s="4"/>
      <c r="K582" s="4"/>
      <c r="L582" s="4"/>
      <c r="M582" s="4"/>
      <c r="N582" s="4"/>
      <c r="O582" s="4"/>
      <c r="P582" s="4"/>
      <c r="Q582" s="4"/>
      <c r="R582" s="4"/>
      <c r="S582" s="4"/>
      <c r="T582" s="4"/>
      <c r="U582" s="4"/>
      <c r="V582" s="4"/>
      <c r="W582" s="4"/>
      <c r="X582" s="4"/>
      <c r="Y582" s="4"/>
      <c r="Z582" s="4"/>
    </row>
    <row r="583" spans="1:26" ht="15.75" customHeight="1" x14ac:dyDescent="0.2">
      <c r="A583" s="1" t="s">
        <v>1162</v>
      </c>
      <c r="B583" s="1" t="s">
        <v>1163</v>
      </c>
      <c r="C583" s="5" t="str">
        <f ca="1">IFERROR(__xludf.DUMMYFUNCTION("REGEXEXTRACT($B583, $E$2)"),"lasalle")</f>
        <v>lasalle</v>
      </c>
      <c r="E583" s="4"/>
      <c r="F583" s="4"/>
      <c r="G583" s="4"/>
      <c r="H583" s="4"/>
      <c r="I583" s="4"/>
      <c r="J583" s="4"/>
      <c r="K583" s="4"/>
      <c r="L583" s="4"/>
      <c r="M583" s="4"/>
      <c r="N583" s="4"/>
      <c r="O583" s="4"/>
      <c r="P583" s="4"/>
      <c r="Q583" s="4"/>
      <c r="R583" s="4"/>
      <c r="S583" s="4"/>
      <c r="T583" s="4"/>
      <c r="U583" s="4"/>
      <c r="V583" s="4"/>
      <c r="W583" s="4"/>
      <c r="X583" s="4"/>
      <c r="Y583" s="4"/>
      <c r="Z583" s="4"/>
    </row>
    <row r="584" spans="1:26" ht="15.75" customHeight="1" x14ac:dyDescent="0.2">
      <c r="A584" s="1" t="s">
        <v>1164</v>
      </c>
      <c r="B584" s="1" t="s">
        <v>1165</v>
      </c>
      <c r="C584" s="5" t="str">
        <f ca="1">IFERROR(__xludf.DUMMYFUNCTION("REGEXEXTRACT($B584, $E$2)"),"lasierra")</f>
        <v>lasierra</v>
      </c>
      <c r="E584" s="4"/>
      <c r="F584" s="4"/>
      <c r="G584" s="4"/>
      <c r="H584" s="4"/>
      <c r="I584" s="4"/>
      <c r="J584" s="4"/>
      <c r="K584" s="4"/>
      <c r="L584" s="4"/>
      <c r="M584" s="4"/>
      <c r="N584" s="4"/>
      <c r="O584" s="4"/>
      <c r="P584" s="4"/>
      <c r="Q584" s="4"/>
      <c r="R584" s="4"/>
      <c r="S584" s="4"/>
      <c r="T584" s="4"/>
      <c r="U584" s="4"/>
      <c r="V584" s="4"/>
      <c r="W584" s="4"/>
      <c r="X584" s="4"/>
      <c r="Y584" s="4"/>
      <c r="Z584" s="4"/>
    </row>
    <row r="585" spans="1:26" ht="15.75" customHeight="1" x14ac:dyDescent="0.2">
      <c r="A585" s="1" t="s">
        <v>1166</v>
      </c>
      <c r="B585" s="1" t="s">
        <v>1167</v>
      </c>
      <c r="C585" s="5" t="str">
        <f ca="1">IFERROR(__xludf.DUMMYFUNCTION("REGEXEXTRACT($B585, $E$2)"),"lafayette")</f>
        <v>lafayette</v>
      </c>
      <c r="E585" s="4"/>
      <c r="F585" s="4"/>
      <c r="G585" s="4"/>
      <c r="H585" s="4"/>
      <c r="I585" s="4"/>
      <c r="J585" s="4"/>
      <c r="K585" s="4"/>
      <c r="L585" s="4"/>
      <c r="M585" s="4"/>
      <c r="N585" s="4"/>
      <c r="O585" s="4"/>
      <c r="P585" s="4"/>
      <c r="Q585" s="4"/>
      <c r="R585" s="4"/>
      <c r="S585" s="4"/>
      <c r="T585" s="4"/>
      <c r="U585" s="4"/>
      <c r="V585" s="4"/>
      <c r="W585" s="4"/>
      <c r="X585" s="4"/>
      <c r="Y585" s="4"/>
      <c r="Z585" s="4"/>
    </row>
    <row r="586" spans="1:26" ht="15.75" customHeight="1" x14ac:dyDescent="0.2">
      <c r="A586" s="1" t="s">
        <v>1168</v>
      </c>
      <c r="B586" s="1" t="s">
        <v>1169</v>
      </c>
      <c r="C586" s="5" t="str">
        <f ca="1">IFERROR(__xludf.DUMMYFUNCTION("REGEXEXTRACT($B586, $E$2)"),"lagrange")</f>
        <v>lagrange</v>
      </c>
      <c r="E586" s="4"/>
      <c r="F586" s="4"/>
      <c r="G586" s="4"/>
      <c r="H586" s="4"/>
      <c r="I586" s="4"/>
      <c r="J586" s="4"/>
      <c r="K586" s="4"/>
      <c r="L586" s="4"/>
      <c r="M586" s="4"/>
      <c r="N586" s="4"/>
      <c r="O586" s="4"/>
      <c r="P586" s="4"/>
      <c r="Q586" s="4"/>
      <c r="R586" s="4"/>
      <c r="S586" s="4"/>
      <c r="T586" s="4"/>
      <c r="U586" s="4"/>
      <c r="V586" s="4"/>
      <c r="W586" s="4"/>
      <c r="X586" s="4"/>
      <c r="Y586" s="4"/>
      <c r="Z586" s="4"/>
    </row>
    <row r="587" spans="1:26" ht="15.75" customHeight="1" x14ac:dyDescent="0.2">
      <c r="A587" s="1" t="s">
        <v>1170</v>
      </c>
      <c r="B587" s="1" t="s">
        <v>1171</v>
      </c>
      <c r="C587" s="5" t="str">
        <f ca="1">IFERROR(__xludf.DUMMYFUNCTION("REGEXEXTRACT($B587, $E$2)"),"lcad")</f>
        <v>lcad</v>
      </c>
      <c r="E587" s="4"/>
      <c r="F587" s="4"/>
      <c r="G587" s="4"/>
      <c r="H587" s="4"/>
      <c r="I587" s="4"/>
      <c r="J587" s="4"/>
      <c r="K587" s="4"/>
      <c r="L587" s="4"/>
      <c r="M587" s="4"/>
      <c r="N587" s="4"/>
      <c r="O587" s="4"/>
      <c r="P587" s="4"/>
      <c r="Q587" s="4"/>
      <c r="R587" s="4"/>
      <c r="S587" s="4"/>
      <c r="T587" s="4"/>
      <c r="U587" s="4"/>
      <c r="V587" s="4"/>
      <c r="W587" s="4"/>
      <c r="X587" s="4"/>
      <c r="Y587" s="4"/>
      <c r="Z587" s="4"/>
    </row>
    <row r="588" spans="1:26" ht="15.75" customHeight="1" x14ac:dyDescent="0.2">
      <c r="A588" s="1" t="s">
        <v>1172</v>
      </c>
      <c r="B588" s="1" t="s">
        <v>1173</v>
      </c>
      <c r="C588" s="5" t="str">
        <f ca="1">IFERROR(__xludf.DUMMYFUNCTION("REGEXEXTRACT($B588, $E$2)"),"lec")</f>
        <v>lec</v>
      </c>
      <c r="E588" s="4"/>
      <c r="F588" s="4"/>
      <c r="G588" s="4"/>
      <c r="H588" s="4"/>
      <c r="I588" s="4"/>
      <c r="J588" s="4"/>
      <c r="K588" s="4"/>
      <c r="L588" s="4"/>
      <c r="M588" s="4"/>
      <c r="N588" s="4"/>
      <c r="O588" s="4"/>
      <c r="P588" s="4"/>
      <c r="Q588" s="4"/>
      <c r="R588" s="4"/>
      <c r="S588" s="4"/>
      <c r="T588" s="4"/>
      <c r="U588" s="4"/>
      <c r="V588" s="4"/>
      <c r="W588" s="4"/>
      <c r="X588" s="4"/>
      <c r="Y588" s="4"/>
      <c r="Z588" s="4"/>
    </row>
    <row r="589" spans="1:26" ht="15.75" customHeight="1" x14ac:dyDescent="0.2">
      <c r="A589" s="1" t="s">
        <v>1174</v>
      </c>
      <c r="B589" s="1" t="s">
        <v>1175</v>
      </c>
      <c r="C589" s="5" t="str">
        <f ca="1">IFERROR(__xludf.DUMMYFUNCTION("REGEXEXTRACT($B589, $E$2)"),"lakeforest")</f>
        <v>lakeforest</v>
      </c>
      <c r="E589" s="4"/>
      <c r="F589" s="4"/>
      <c r="G589" s="4"/>
      <c r="H589" s="4"/>
      <c r="I589" s="4"/>
      <c r="J589" s="4"/>
      <c r="K589" s="4"/>
      <c r="L589" s="4"/>
      <c r="M589" s="4"/>
      <c r="N589" s="4"/>
      <c r="O589" s="4"/>
      <c r="P589" s="4"/>
      <c r="Q589" s="4"/>
      <c r="R589" s="4"/>
      <c r="S589" s="4"/>
      <c r="T589" s="4"/>
      <c r="U589" s="4"/>
      <c r="V589" s="4"/>
      <c r="W589" s="4"/>
      <c r="X589" s="4"/>
      <c r="Y589" s="4"/>
      <c r="Z589" s="4"/>
    </row>
    <row r="590" spans="1:26" ht="15.75" customHeight="1" x14ac:dyDescent="0.2">
      <c r="A590" s="1" t="s">
        <v>1176</v>
      </c>
      <c r="B590" s="1" t="s">
        <v>1177</v>
      </c>
      <c r="C590" s="5" t="str">
        <f ca="1">IFERROR(__xludf.DUMMYFUNCTION("REGEXEXTRACT($B590, $E$2)"),"lssu")</f>
        <v>lssu</v>
      </c>
      <c r="E590" s="4"/>
      <c r="F590" s="4"/>
      <c r="G590" s="4"/>
      <c r="H590" s="4"/>
      <c r="I590" s="4"/>
      <c r="J590" s="4"/>
      <c r="K590" s="4"/>
      <c r="L590" s="4"/>
      <c r="M590" s="4"/>
      <c r="N590" s="4"/>
      <c r="O590" s="4"/>
      <c r="P590" s="4"/>
      <c r="Q590" s="4"/>
      <c r="R590" s="4"/>
      <c r="S590" s="4"/>
      <c r="T590" s="4"/>
      <c r="U590" s="4"/>
      <c r="V590" s="4"/>
      <c r="W590" s="4"/>
      <c r="X590" s="4"/>
      <c r="Y590" s="4"/>
      <c r="Z590" s="4"/>
    </row>
    <row r="591" spans="1:26" ht="15.75" customHeight="1" x14ac:dyDescent="0.2">
      <c r="A591" s="1" t="s">
        <v>1178</v>
      </c>
      <c r="B591" s="1" t="s">
        <v>1179</v>
      </c>
      <c r="C591" s="5" t="str">
        <f ca="1">IFERROR(__xludf.DUMMYFUNCTION("REGEXEXTRACT($B591, $E$2)"),"lakeland")</f>
        <v>lakeland</v>
      </c>
      <c r="E591" s="4"/>
      <c r="F591" s="4"/>
      <c r="G591" s="4"/>
      <c r="H591" s="4"/>
      <c r="I591" s="4"/>
      <c r="J591" s="4"/>
      <c r="K591" s="4"/>
      <c r="L591" s="4"/>
      <c r="M591" s="4"/>
      <c r="N591" s="4"/>
      <c r="O591" s="4"/>
      <c r="P591" s="4"/>
      <c r="Q591" s="4"/>
      <c r="R591" s="4"/>
      <c r="S591" s="4"/>
      <c r="T591" s="4"/>
      <c r="U591" s="4"/>
      <c r="V591" s="4"/>
      <c r="W591" s="4"/>
      <c r="X591" s="4"/>
      <c r="Y591" s="4"/>
      <c r="Z591" s="4"/>
    </row>
    <row r="592" spans="1:26" ht="15.75" customHeight="1" x14ac:dyDescent="0.2">
      <c r="A592" s="1" t="s">
        <v>1180</v>
      </c>
      <c r="B592" s="1" t="s">
        <v>1181</v>
      </c>
      <c r="C592" s="5" t="str">
        <f ca="1">IFERROR(__xludf.DUMMYFUNCTION("REGEXEXTRACT($B592, $E$2)"),"lamar")</f>
        <v>lamar</v>
      </c>
      <c r="E592" s="4"/>
      <c r="F592" s="4"/>
      <c r="G592" s="4"/>
      <c r="H592" s="4"/>
      <c r="I592" s="4"/>
      <c r="J592" s="4"/>
      <c r="K592" s="4"/>
      <c r="L592" s="4"/>
      <c r="M592" s="4"/>
      <c r="N592" s="4"/>
      <c r="O592" s="4"/>
      <c r="P592" s="4"/>
      <c r="Q592" s="4"/>
      <c r="R592" s="4"/>
      <c r="S592" s="4"/>
      <c r="T592" s="4"/>
      <c r="U592" s="4"/>
      <c r="V592" s="4"/>
      <c r="W592" s="4"/>
      <c r="X592" s="4"/>
      <c r="Y592" s="4"/>
      <c r="Z592" s="4"/>
    </row>
    <row r="593" spans="1:26" ht="15.75" customHeight="1" x14ac:dyDescent="0.2">
      <c r="A593" s="1" t="s">
        <v>1182</v>
      </c>
      <c r="B593" s="1" t="s">
        <v>1183</v>
      </c>
      <c r="C593" s="5" t="str">
        <f ca="1">IFERROR(__xludf.DUMMYFUNCTION("REGEXEXTRACT($B593, $E$2)"),"lander")</f>
        <v>lander</v>
      </c>
      <c r="E593" s="4"/>
      <c r="F593" s="4"/>
      <c r="G593" s="4"/>
      <c r="H593" s="4"/>
      <c r="I593" s="4"/>
      <c r="J593" s="4"/>
      <c r="K593" s="4"/>
      <c r="L593" s="4"/>
      <c r="M593" s="4"/>
      <c r="N593" s="4"/>
      <c r="O593" s="4"/>
      <c r="P593" s="4"/>
      <c r="Q593" s="4"/>
      <c r="R593" s="4"/>
      <c r="S593" s="4"/>
      <c r="T593" s="4"/>
      <c r="U593" s="4"/>
      <c r="V593" s="4"/>
      <c r="W593" s="4"/>
      <c r="X593" s="4"/>
      <c r="Y593" s="4"/>
      <c r="Z593" s="4"/>
    </row>
    <row r="594" spans="1:26" ht="15.75" customHeight="1" x14ac:dyDescent="0.2">
      <c r="A594" s="1" t="s">
        <v>1184</v>
      </c>
      <c r="B594" s="1" t="s">
        <v>1185</v>
      </c>
      <c r="C594" s="5" t="str">
        <f ca="1">IFERROR(__xludf.DUMMYFUNCTION("REGEXEXTRACT($B594, $E$2)"),"lanecollege")</f>
        <v>lanecollege</v>
      </c>
      <c r="E594" s="4"/>
      <c r="F594" s="4"/>
      <c r="G594" s="4"/>
      <c r="H594" s="4"/>
      <c r="I594" s="4"/>
      <c r="J594" s="4"/>
      <c r="K594" s="4"/>
      <c r="L594" s="4"/>
      <c r="M594" s="4"/>
      <c r="N594" s="4"/>
      <c r="O594" s="4"/>
      <c r="P594" s="4"/>
      <c r="Q594" s="4"/>
      <c r="R594" s="4"/>
      <c r="S594" s="4"/>
      <c r="T594" s="4"/>
      <c r="U594" s="4"/>
      <c r="V594" s="4"/>
      <c r="W594" s="4"/>
      <c r="X594" s="4"/>
      <c r="Y594" s="4"/>
      <c r="Z594" s="4"/>
    </row>
    <row r="595" spans="1:26" ht="15.75" customHeight="1" x14ac:dyDescent="0.2">
      <c r="A595" s="1" t="s">
        <v>1186</v>
      </c>
      <c r="B595" s="1" t="s">
        <v>1187</v>
      </c>
      <c r="C595" s="5" t="str">
        <f ca="1">IFERROR(__xludf.DUMMYFUNCTION("REGEXEXTRACT($B595, $E$2)"),"langston")</f>
        <v>langston</v>
      </c>
      <c r="E595" s="4"/>
      <c r="F595" s="4"/>
      <c r="G595" s="4"/>
      <c r="H595" s="4"/>
      <c r="I595" s="4"/>
      <c r="J595" s="4"/>
      <c r="K595" s="4"/>
      <c r="L595" s="4"/>
      <c r="M595" s="4"/>
      <c r="N595" s="4"/>
      <c r="O595" s="4"/>
      <c r="P595" s="4"/>
      <c r="Q595" s="4"/>
      <c r="R595" s="4"/>
      <c r="S595" s="4"/>
      <c r="T595" s="4"/>
      <c r="U595" s="4"/>
      <c r="V595" s="4"/>
      <c r="W595" s="4"/>
      <c r="X595" s="4"/>
      <c r="Y595" s="4"/>
      <c r="Z595" s="4"/>
    </row>
    <row r="596" spans="1:26" ht="15.75" customHeight="1" x14ac:dyDescent="0.2">
      <c r="A596" s="1" t="s">
        <v>1188</v>
      </c>
      <c r="B596" s="1" t="s">
        <v>1189</v>
      </c>
      <c r="C596" s="5" t="str">
        <f ca="1">IFERROR(__xludf.DUMMYFUNCTION("REGEXEXTRACT($B596, $E$2)"),"lasell")</f>
        <v>lasell</v>
      </c>
      <c r="E596" s="4"/>
      <c r="F596" s="4"/>
      <c r="G596" s="4"/>
      <c r="H596" s="4"/>
      <c r="I596" s="4"/>
      <c r="J596" s="4"/>
      <c r="K596" s="4"/>
      <c r="L596" s="4"/>
      <c r="M596" s="4"/>
      <c r="N596" s="4"/>
      <c r="O596" s="4"/>
      <c r="P596" s="4"/>
      <c r="Q596" s="4"/>
      <c r="R596" s="4"/>
      <c r="S596" s="4"/>
      <c r="T596" s="4"/>
      <c r="U596" s="4"/>
      <c r="V596" s="4"/>
      <c r="W596" s="4"/>
      <c r="X596" s="4"/>
      <c r="Y596" s="4"/>
      <c r="Z596" s="4"/>
    </row>
    <row r="597" spans="1:26" ht="15.75" customHeight="1" x14ac:dyDescent="0.2">
      <c r="A597" s="1" t="s">
        <v>1190</v>
      </c>
      <c r="B597" s="1" t="s">
        <v>1191</v>
      </c>
      <c r="C597" s="5" t="str">
        <f ca="1">IFERROR(__xludf.DUMMYFUNCTION("REGEXEXTRACT($B597, $E$2)"),"ltu")</f>
        <v>ltu</v>
      </c>
      <c r="E597" s="4"/>
      <c r="F597" s="4"/>
      <c r="G597" s="4"/>
      <c r="H597" s="4"/>
      <c r="I597" s="4"/>
      <c r="J597" s="4"/>
      <c r="K597" s="4"/>
      <c r="L597" s="4"/>
      <c r="M597" s="4"/>
      <c r="N597" s="4"/>
      <c r="O597" s="4"/>
      <c r="P597" s="4"/>
      <c r="Q597" s="4"/>
      <c r="R597" s="4"/>
      <c r="S597" s="4"/>
      <c r="T597" s="4"/>
      <c r="U597" s="4"/>
      <c r="V597" s="4"/>
      <c r="W597" s="4"/>
      <c r="X597" s="4"/>
      <c r="Y597" s="4"/>
      <c r="Z597" s="4"/>
    </row>
    <row r="598" spans="1:26" ht="15.75" customHeight="1" x14ac:dyDescent="0.2">
      <c r="A598" s="1" t="s">
        <v>1192</v>
      </c>
      <c r="B598" s="1" t="s">
        <v>1193</v>
      </c>
      <c r="C598" s="5" t="str">
        <f ca="1">IFERROR(__xludf.DUMMYFUNCTION("REGEXEXTRACT($B598, $E$2)"),"lawrence")</f>
        <v>lawrence</v>
      </c>
      <c r="E598" s="4"/>
      <c r="F598" s="4"/>
      <c r="G598" s="4"/>
      <c r="H598" s="4"/>
      <c r="I598" s="4"/>
      <c r="J598" s="4"/>
      <c r="K598" s="4"/>
      <c r="L598" s="4"/>
      <c r="M598" s="4"/>
      <c r="N598" s="4"/>
      <c r="O598" s="4"/>
      <c r="P598" s="4"/>
      <c r="Q598" s="4"/>
      <c r="R598" s="4"/>
      <c r="S598" s="4"/>
      <c r="T598" s="4"/>
      <c r="U598" s="4"/>
      <c r="V598" s="4"/>
      <c r="W598" s="4"/>
      <c r="X598" s="4"/>
      <c r="Y598" s="4"/>
      <c r="Z598" s="4"/>
    </row>
    <row r="599" spans="1:26" ht="15.75" customHeight="1" x14ac:dyDescent="0.2">
      <c r="A599" s="1" t="s">
        <v>1194</v>
      </c>
      <c r="B599" s="1" t="s">
        <v>1195</v>
      </c>
      <c r="C599" s="5" t="str">
        <f ca="1">IFERROR(__xludf.DUMMYFUNCTION("REGEXEXTRACT($B599, $E$2)"),"lemoyne")</f>
        <v>lemoyne</v>
      </c>
      <c r="E599" s="4"/>
      <c r="F599" s="4"/>
      <c r="G599" s="4"/>
      <c r="H599" s="4"/>
      <c r="I599" s="4"/>
      <c r="J599" s="4"/>
      <c r="K599" s="4"/>
      <c r="L599" s="4"/>
      <c r="M599" s="4"/>
      <c r="N599" s="4"/>
      <c r="O599" s="4"/>
      <c r="P599" s="4"/>
      <c r="Q599" s="4"/>
      <c r="R599" s="4"/>
      <c r="S599" s="4"/>
      <c r="T599" s="4"/>
      <c r="U599" s="4"/>
      <c r="V599" s="4"/>
      <c r="W599" s="4"/>
      <c r="X599" s="4"/>
      <c r="Y599" s="4"/>
      <c r="Z599" s="4"/>
    </row>
    <row r="600" spans="1:26" ht="15.75" customHeight="1" x14ac:dyDescent="0.2">
      <c r="A600" s="1" t="s">
        <v>1196</v>
      </c>
      <c r="B600" s="1" t="s">
        <v>1197</v>
      </c>
      <c r="C600" s="5" t="str">
        <f ca="1">IFERROR(__xludf.DUMMYFUNCTION("REGEXEXTRACT($B600, $E$2)"),"nobts")</f>
        <v>nobts</v>
      </c>
      <c r="E600" s="4"/>
      <c r="F600" s="4"/>
      <c r="G600" s="4"/>
      <c r="H600" s="4"/>
      <c r="I600" s="4"/>
      <c r="J600" s="4"/>
      <c r="K600" s="4"/>
      <c r="L600" s="4"/>
      <c r="M600" s="4"/>
      <c r="N600" s="4"/>
      <c r="O600" s="4"/>
      <c r="P600" s="4"/>
      <c r="Q600" s="4"/>
      <c r="R600" s="4"/>
      <c r="S600" s="4"/>
      <c r="T600" s="4"/>
      <c r="U600" s="4"/>
      <c r="V600" s="4"/>
      <c r="W600" s="4"/>
      <c r="X600" s="4"/>
      <c r="Y600" s="4"/>
      <c r="Z600" s="4"/>
    </row>
    <row r="601" spans="1:26" ht="15.75" customHeight="1" x14ac:dyDescent="0.2">
      <c r="A601" s="1" t="s">
        <v>1198</v>
      </c>
      <c r="B601" s="1" t="s">
        <v>1199</v>
      </c>
      <c r="C601" s="5" t="str">
        <f ca="1">IFERROR(__xludf.DUMMYFUNCTION("REGEXEXTRACT($B601, $E$2)"),"lvc")</f>
        <v>lvc</v>
      </c>
      <c r="E601" s="4"/>
      <c r="F601" s="4"/>
      <c r="G601" s="4"/>
      <c r="H601" s="4"/>
      <c r="I601" s="4"/>
      <c r="J601" s="4"/>
      <c r="K601" s="4"/>
      <c r="L601" s="4"/>
      <c r="M601" s="4"/>
      <c r="N601" s="4"/>
      <c r="O601" s="4"/>
      <c r="P601" s="4"/>
      <c r="Q601" s="4"/>
      <c r="R601" s="4"/>
      <c r="S601" s="4"/>
      <c r="T601" s="4"/>
      <c r="U601" s="4"/>
      <c r="V601" s="4"/>
      <c r="W601" s="4"/>
      <c r="X601" s="4"/>
      <c r="Y601" s="4"/>
      <c r="Z601" s="4"/>
    </row>
    <row r="602" spans="1:26" ht="15.75" customHeight="1" x14ac:dyDescent="0.2">
      <c r="A602" s="1" t="s">
        <v>1200</v>
      </c>
      <c r="B602" s="1" t="s">
        <v>1201</v>
      </c>
      <c r="C602" s="5" t="str">
        <f ca="1">IFERROR(__xludf.DUMMYFUNCTION("REGEXEXTRACT($B602, $E$2)"),"leeuniversity")</f>
        <v>leeuniversity</v>
      </c>
      <c r="E602" s="4"/>
      <c r="F602" s="4"/>
      <c r="G602" s="4"/>
      <c r="H602" s="4"/>
      <c r="I602" s="4"/>
      <c r="J602" s="4"/>
      <c r="K602" s="4"/>
      <c r="L602" s="4"/>
      <c r="M602" s="4"/>
      <c r="N602" s="4"/>
      <c r="O602" s="4"/>
      <c r="P602" s="4"/>
      <c r="Q602" s="4"/>
      <c r="R602" s="4"/>
      <c r="S602" s="4"/>
      <c r="T602" s="4"/>
      <c r="U602" s="4"/>
      <c r="V602" s="4"/>
      <c r="W602" s="4"/>
      <c r="X602" s="4"/>
      <c r="Y602" s="4"/>
      <c r="Z602" s="4"/>
    </row>
    <row r="603" spans="1:26" ht="15.75" customHeight="1" x14ac:dyDescent="0.2">
      <c r="A603" s="1" t="s">
        <v>1202</v>
      </c>
      <c r="B603" s="1" t="s">
        <v>1203</v>
      </c>
      <c r="C603" s="5" t="str">
        <f ca="1">IFERROR(__xludf.DUMMYFUNCTION("REGEXEXTRACT($B603, $E$2)"),"lmc")</f>
        <v>lmc</v>
      </c>
      <c r="E603" s="4"/>
      <c r="F603" s="4"/>
      <c r="G603" s="4"/>
      <c r="H603" s="4"/>
      <c r="I603" s="4"/>
      <c r="J603" s="4"/>
      <c r="K603" s="4"/>
      <c r="L603" s="4"/>
      <c r="M603" s="4"/>
      <c r="N603" s="4"/>
      <c r="O603" s="4"/>
      <c r="P603" s="4"/>
      <c r="Q603" s="4"/>
      <c r="R603" s="4"/>
      <c r="S603" s="4"/>
      <c r="T603" s="4"/>
      <c r="U603" s="4"/>
      <c r="V603" s="4"/>
      <c r="W603" s="4"/>
      <c r="X603" s="4"/>
      <c r="Y603" s="4"/>
      <c r="Z603" s="4"/>
    </row>
    <row r="604" spans="1:26" ht="15.75" customHeight="1" x14ac:dyDescent="0.2">
      <c r="A604" s="1" t="s">
        <v>1204</v>
      </c>
      <c r="B604" s="1" t="s">
        <v>1205</v>
      </c>
      <c r="C604" s="5" t="str">
        <f ca="1">IFERROR(__xludf.DUMMYFUNCTION("REGEXEXTRACT($B604, $E$2)"),"lehigh")</f>
        <v>lehigh</v>
      </c>
      <c r="E604" s="4"/>
      <c r="F604" s="4"/>
      <c r="G604" s="4"/>
      <c r="H604" s="4"/>
      <c r="I604" s="4"/>
      <c r="J604" s="4"/>
      <c r="K604" s="4"/>
      <c r="L604" s="4"/>
      <c r="M604" s="4"/>
      <c r="N604" s="4"/>
      <c r="O604" s="4"/>
      <c r="P604" s="4"/>
      <c r="Q604" s="4"/>
      <c r="R604" s="4"/>
      <c r="S604" s="4"/>
      <c r="T604" s="4"/>
      <c r="U604" s="4"/>
      <c r="V604" s="4"/>
      <c r="W604" s="4"/>
      <c r="X604" s="4"/>
      <c r="Y604" s="4"/>
      <c r="Z604" s="4"/>
    </row>
    <row r="605" spans="1:26" ht="15.75" customHeight="1" x14ac:dyDescent="0.2">
      <c r="A605" s="1" t="s">
        <v>1206</v>
      </c>
      <c r="B605" s="1" t="s">
        <v>1207</v>
      </c>
      <c r="C605" s="5" t="str">
        <f ca="1">IFERROR(__xludf.DUMMYFUNCTION("REGEXEXTRACT($B605, $E$2)"),"loc")</f>
        <v>loc</v>
      </c>
      <c r="E605" s="4"/>
      <c r="F605" s="4"/>
      <c r="G605" s="4"/>
      <c r="H605" s="4"/>
      <c r="I605" s="4"/>
      <c r="J605" s="4"/>
      <c r="K605" s="4"/>
      <c r="L605" s="4"/>
      <c r="M605" s="4"/>
      <c r="N605" s="4"/>
      <c r="O605" s="4"/>
      <c r="P605" s="4"/>
      <c r="Q605" s="4"/>
      <c r="R605" s="4"/>
      <c r="S605" s="4"/>
      <c r="T605" s="4"/>
      <c r="U605" s="4"/>
      <c r="V605" s="4"/>
      <c r="W605" s="4"/>
      <c r="X605" s="4"/>
      <c r="Y605" s="4"/>
      <c r="Z605" s="4"/>
    </row>
    <row r="606" spans="1:26" ht="15.75" customHeight="1" x14ac:dyDescent="0.2">
      <c r="A606" s="1" t="s">
        <v>1208</v>
      </c>
      <c r="B606" s="1" t="s">
        <v>1209</v>
      </c>
      <c r="C606" s="5" t="str">
        <f ca="1">IFERROR(__xludf.DUMMYFUNCTION("REGEXEXTRACT($B606, $E$2)"),"lr")</f>
        <v>lr</v>
      </c>
      <c r="E606" s="4"/>
      <c r="F606" s="4"/>
      <c r="G606" s="4"/>
      <c r="H606" s="4"/>
      <c r="I606" s="4"/>
      <c r="J606" s="4"/>
      <c r="K606" s="4"/>
      <c r="L606" s="4"/>
      <c r="M606" s="4"/>
      <c r="N606" s="4"/>
      <c r="O606" s="4"/>
      <c r="P606" s="4"/>
      <c r="Q606" s="4"/>
      <c r="R606" s="4"/>
      <c r="S606" s="4"/>
      <c r="T606" s="4"/>
      <c r="U606" s="4"/>
      <c r="V606" s="4"/>
      <c r="W606" s="4"/>
      <c r="X606" s="4"/>
      <c r="Y606" s="4"/>
      <c r="Z606" s="4"/>
    </row>
    <row r="607" spans="1:26" ht="15.75" customHeight="1" x14ac:dyDescent="0.2">
      <c r="A607" s="1" t="s">
        <v>1210</v>
      </c>
      <c r="B607" s="1" t="s">
        <v>1211</v>
      </c>
      <c r="C607" s="5" t="str">
        <f ca="1">IFERROR(__xludf.DUMMYFUNCTION("REGEXEXTRACT($B607, $E$2)"),"lesley")</f>
        <v>lesley</v>
      </c>
      <c r="E607" s="4"/>
      <c r="F607" s="4"/>
      <c r="G607" s="4"/>
      <c r="H607" s="4"/>
      <c r="I607" s="4"/>
      <c r="J607" s="4"/>
      <c r="K607" s="4"/>
      <c r="L607" s="4"/>
      <c r="M607" s="4"/>
      <c r="N607" s="4"/>
      <c r="O607" s="4"/>
      <c r="P607" s="4"/>
      <c r="Q607" s="4"/>
      <c r="R607" s="4"/>
      <c r="S607" s="4"/>
      <c r="T607" s="4"/>
      <c r="U607" s="4"/>
      <c r="V607" s="4"/>
      <c r="W607" s="4"/>
      <c r="X607" s="4"/>
      <c r="Y607" s="4"/>
      <c r="Z607" s="4"/>
    </row>
    <row r="608" spans="1:26" ht="15.75" customHeight="1" x14ac:dyDescent="0.2">
      <c r="A608" s="1" t="s">
        <v>1212</v>
      </c>
      <c r="B608" s="1" t="s">
        <v>1213</v>
      </c>
      <c r="C608" s="5" t="str">
        <f ca="1">IFERROR(__xludf.DUMMYFUNCTION("REGEXEXTRACT($B608, $E$2)"),"letu")</f>
        <v>letu</v>
      </c>
      <c r="E608" s="4"/>
      <c r="F608" s="4"/>
      <c r="G608" s="4"/>
      <c r="H608" s="4"/>
      <c r="I608" s="4"/>
      <c r="J608" s="4"/>
      <c r="K608" s="4"/>
      <c r="L608" s="4"/>
      <c r="M608" s="4"/>
      <c r="N608" s="4"/>
      <c r="O608" s="4"/>
      <c r="P608" s="4"/>
      <c r="Q608" s="4"/>
      <c r="R608" s="4"/>
      <c r="S608" s="4"/>
      <c r="T608" s="4"/>
      <c r="U608" s="4"/>
      <c r="V608" s="4"/>
      <c r="W608" s="4"/>
      <c r="X608" s="4"/>
      <c r="Y608" s="4"/>
      <c r="Z608" s="4"/>
    </row>
    <row r="609" spans="1:26" ht="15.75" customHeight="1" x14ac:dyDescent="0.2">
      <c r="A609" s="1" t="s">
        <v>1214</v>
      </c>
      <c r="B609" s="1" t="s">
        <v>1215</v>
      </c>
      <c r="C609" s="5" t="str">
        <f ca="1">IFERROR(__xludf.DUMMYFUNCTION("REGEXEXTRACT($B609, $E$2)"),"lclark")</f>
        <v>lclark</v>
      </c>
      <c r="E609" s="4"/>
      <c r="F609" s="4"/>
      <c r="G609" s="4"/>
      <c r="H609" s="4"/>
      <c r="I609" s="4"/>
      <c r="J609" s="4"/>
      <c r="K609" s="4"/>
      <c r="L609" s="4"/>
      <c r="M609" s="4"/>
      <c r="N609" s="4"/>
      <c r="O609" s="4"/>
      <c r="P609" s="4"/>
      <c r="Q609" s="4"/>
      <c r="R609" s="4"/>
      <c r="S609" s="4"/>
      <c r="T609" s="4"/>
      <c r="U609" s="4"/>
      <c r="V609" s="4"/>
      <c r="W609" s="4"/>
      <c r="X609" s="4"/>
      <c r="Y609" s="4"/>
      <c r="Z609" s="4"/>
    </row>
    <row r="610" spans="1:26" ht="15.75" customHeight="1" x14ac:dyDescent="0.2">
      <c r="A610" s="1" t="s">
        <v>1216</v>
      </c>
      <c r="B610" s="1" t="s">
        <v>1217</v>
      </c>
      <c r="C610" s="5" t="str">
        <f ca="1">IFERROR(__xludf.DUMMYFUNCTION("REGEXEXTRACT($B610, $E$2)"),"lcsc")</f>
        <v>lcsc</v>
      </c>
      <c r="E610" s="4"/>
      <c r="F610" s="4"/>
      <c r="G610" s="4"/>
      <c r="H610" s="4"/>
      <c r="I610" s="4"/>
      <c r="J610" s="4"/>
      <c r="K610" s="4"/>
      <c r="L610" s="4"/>
      <c r="M610" s="4"/>
      <c r="N610" s="4"/>
      <c r="O610" s="4"/>
      <c r="P610" s="4"/>
      <c r="Q610" s="4"/>
      <c r="R610" s="4"/>
      <c r="S610" s="4"/>
      <c r="T610" s="4"/>
      <c r="U610" s="4"/>
      <c r="V610" s="4"/>
      <c r="W610" s="4"/>
      <c r="X610" s="4"/>
      <c r="Y610" s="4"/>
      <c r="Z610" s="4"/>
    </row>
    <row r="611" spans="1:26" ht="15.75" customHeight="1" x14ac:dyDescent="0.2">
      <c r="A611" s="1" t="s">
        <v>1218</v>
      </c>
      <c r="B611" s="1" t="s">
        <v>1219</v>
      </c>
      <c r="C611" s="5" t="str">
        <f ca="1">IFERROR(__xludf.DUMMYFUNCTION("REGEXEXTRACT($B611, $E$2)"),"lewisu")</f>
        <v>lewisu</v>
      </c>
      <c r="E611" s="4"/>
      <c r="F611" s="4"/>
      <c r="G611" s="4"/>
      <c r="H611" s="4"/>
      <c r="I611" s="4"/>
      <c r="J611" s="4"/>
      <c r="K611" s="4"/>
      <c r="L611" s="4"/>
      <c r="M611" s="4"/>
      <c r="N611" s="4"/>
      <c r="O611" s="4"/>
      <c r="P611" s="4"/>
      <c r="Q611" s="4"/>
      <c r="R611" s="4"/>
      <c r="S611" s="4"/>
      <c r="T611" s="4"/>
      <c r="U611" s="4"/>
      <c r="V611" s="4"/>
      <c r="W611" s="4"/>
      <c r="X611" s="4"/>
      <c r="Y611" s="4"/>
      <c r="Z611" s="4"/>
    </row>
    <row r="612" spans="1:26" ht="15.75" customHeight="1" x14ac:dyDescent="0.2">
      <c r="A612" s="1" t="s">
        <v>1220</v>
      </c>
      <c r="B612" s="1" t="s">
        <v>1221</v>
      </c>
      <c r="C612" s="5" t="str">
        <f ca="1">IFERROR(__xludf.DUMMYFUNCTION("REGEXEXTRACT($B612, $E$2)"),"liberty")</f>
        <v>liberty</v>
      </c>
      <c r="E612" s="4"/>
      <c r="F612" s="4"/>
      <c r="G612" s="4"/>
      <c r="H612" s="4"/>
      <c r="I612" s="4"/>
      <c r="J612" s="4"/>
      <c r="K612" s="4"/>
      <c r="L612" s="4"/>
      <c r="M612" s="4"/>
      <c r="N612" s="4"/>
      <c r="O612" s="4"/>
      <c r="P612" s="4"/>
      <c r="Q612" s="4"/>
      <c r="R612" s="4"/>
      <c r="S612" s="4"/>
      <c r="T612" s="4"/>
      <c r="U612" s="4"/>
      <c r="V612" s="4"/>
      <c r="W612" s="4"/>
      <c r="X612" s="4"/>
      <c r="Y612" s="4"/>
      <c r="Z612" s="4"/>
    </row>
    <row r="613" spans="1:26" ht="15.75" customHeight="1" x14ac:dyDescent="0.2">
      <c r="A613" s="1" t="s">
        <v>1222</v>
      </c>
      <c r="B613" s="1" t="s">
        <v>1223</v>
      </c>
      <c r="C613" s="5" t="str">
        <f ca="1">IFERROR(__xludf.DUMMYFUNCTION("REGEXEXTRACT($B613, $E$2)"),"lifepacific")</f>
        <v>lifepacific</v>
      </c>
      <c r="E613" s="4"/>
      <c r="F613" s="4"/>
      <c r="G613" s="4"/>
      <c r="H613" s="4"/>
      <c r="I613" s="4"/>
      <c r="J613" s="4"/>
      <c r="K613" s="4"/>
      <c r="L613" s="4"/>
      <c r="M613" s="4"/>
      <c r="N613" s="4"/>
      <c r="O613" s="4"/>
      <c r="P613" s="4"/>
      <c r="Q613" s="4"/>
      <c r="R613" s="4"/>
      <c r="S613" s="4"/>
      <c r="T613" s="4"/>
      <c r="U613" s="4"/>
      <c r="V613" s="4"/>
      <c r="W613" s="4"/>
      <c r="X613" s="4"/>
      <c r="Y613" s="4"/>
      <c r="Z613" s="4"/>
    </row>
    <row r="614" spans="1:26" ht="15.75" customHeight="1" x14ac:dyDescent="0.2">
      <c r="A614" s="1" t="s">
        <v>1224</v>
      </c>
      <c r="B614" s="1" t="s">
        <v>1225</v>
      </c>
      <c r="C614" s="5" t="str">
        <f ca="1">IFERROR(__xludf.DUMMYFUNCTION("REGEXEXTRACT($B614, $E$2)"),"life")</f>
        <v>life</v>
      </c>
      <c r="E614" s="4"/>
      <c r="F614" s="4"/>
      <c r="G614" s="4"/>
      <c r="H614" s="4"/>
      <c r="I614" s="4"/>
      <c r="J614" s="4"/>
      <c r="K614" s="4"/>
      <c r="L614" s="4"/>
      <c r="M614" s="4"/>
      <c r="N614" s="4"/>
      <c r="O614" s="4"/>
      <c r="P614" s="4"/>
      <c r="Q614" s="4"/>
      <c r="R614" s="4"/>
      <c r="S614" s="4"/>
      <c r="T614" s="4"/>
      <c r="U614" s="4"/>
      <c r="V614" s="4"/>
      <c r="W614" s="4"/>
      <c r="X614" s="4"/>
      <c r="Y614" s="4"/>
      <c r="Z614" s="4"/>
    </row>
    <row r="615" spans="1:26" ht="15.75" customHeight="1" x14ac:dyDescent="0.2">
      <c r="A615" s="1" t="s">
        <v>1226</v>
      </c>
      <c r="B615" s="1" t="s">
        <v>1227</v>
      </c>
      <c r="C615" s="5" t="str">
        <f ca="1">IFERROR(__xludf.DUMMYFUNCTION("REGEXEXTRACT($B615, $E$2)"),"limcollege")</f>
        <v>limcollege</v>
      </c>
      <c r="E615" s="4"/>
      <c r="F615" s="4"/>
      <c r="G615" s="4"/>
      <c r="H615" s="4"/>
      <c r="I615" s="4"/>
      <c r="J615" s="4"/>
      <c r="K615" s="4"/>
      <c r="L615" s="4"/>
      <c r="M615" s="4"/>
      <c r="N615" s="4"/>
      <c r="O615" s="4"/>
      <c r="P615" s="4"/>
      <c r="Q615" s="4"/>
      <c r="R615" s="4"/>
      <c r="S615" s="4"/>
      <c r="T615" s="4"/>
      <c r="U615" s="4"/>
      <c r="V615" s="4"/>
      <c r="W615" s="4"/>
      <c r="X615" s="4"/>
      <c r="Y615" s="4"/>
      <c r="Z615" s="4"/>
    </row>
    <row r="616" spans="1:26" ht="15.75" customHeight="1" x14ac:dyDescent="0.2">
      <c r="A616" s="1" t="s">
        <v>1228</v>
      </c>
      <c r="B616" s="1" t="s">
        <v>1229</v>
      </c>
      <c r="C616" s="5" t="str">
        <f ca="1">IFERROR(__xludf.DUMMYFUNCTION("REGEXEXTRACT($B616, $E$2)"),"limestone")</f>
        <v>limestone</v>
      </c>
      <c r="E616" s="4"/>
      <c r="F616" s="4"/>
      <c r="G616" s="4"/>
      <c r="H616" s="4"/>
      <c r="I616" s="4"/>
      <c r="J616" s="4"/>
      <c r="K616" s="4"/>
      <c r="L616" s="4"/>
      <c r="M616" s="4"/>
      <c r="N616" s="4"/>
      <c r="O616" s="4"/>
      <c r="P616" s="4"/>
      <c r="Q616" s="4"/>
      <c r="R616" s="4"/>
      <c r="S616" s="4"/>
      <c r="T616" s="4"/>
      <c r="U616" s="4"/>
      <c r="V616" s="4"/>
      <c r="W616" s="4"/>
      <c r="X616" s="4"/>
      <c r="Y616" s="4"/>
      <c r="Z616" s="4"/>
    </row>
    <row r="617" spans="1:26" ht="15.75" customHeight="1" x14ac:dyDescent="0.2">
      <c r="A617" s="1" t="s">
        <v>1230</v>
      </c>
      <c r="B617" s="1" t="s">
        <v>1231</v>
      </c>
      <c r="C617" s="5" t="str">
        <f ca="1">IFERROR(__xludf.DUMMYFUNCTION("REGEXEXTRACT($B617, $E$2)"),"lincolnchristian")</f>
        <v>lincolnchristian</v>
      </c>
      <c r="E617" s="4"/>
      <c r="F617" s="4"/>
      <c r="G617" s="4"/>
      <c r="H617" s="4"/>
      <c r="I617" s="4"/>
      <c r="J617" s="4"/>
      <c r="K617" s="4"/>
      <c r="L617" s="4"/>
      <c r="M617" s="4"/>
      <c r="N617" s="4"/>
      <c r="O617" s="4"/>
      <c r="P617" s="4"/>
      <c r="Q617" s="4"/>
      <c r="R617" s="4"/>
      <c r="S617" s="4"/>
      <c r="T617" s="4"/>
      <c r="U617" s="4"/>
      <c r="V617" s="4"/>
      <c r="W617" s="4"/>
      <c r="X617" s="4"/>
      <c r="Y617" s="4"/>
      <c r="Z617" s="4"/>
    </row>
    <row r="618" spans="1:26" ht="15.75" customHeight="1" x14ac:dyDescent="0.2">
      <c r="A618" s="1" t="s">
        <v>1232</v>
      </c>
      <c r="B618" s="1" t="s">
        <v>1233</v>
      </c>
      <c r="C618" s="5" t="str">
        <f ca="1">IFERROR(__xludf.DUMMYFUNCTION("REGEXEXTRACT($B618, $E$2)"),"lmunet")</f>
        <v>lmunet</v>
      </c>
      <c r="E618" s="4"/>
      <c r="F618" s="4"/>
      <c r="G618" s="4"/>
      <c r="H618" s="4"/>
      <c r="I618" s="4"/>
      <c r="J618" s="4"/>
      <c r="K618" s="4"/>
      <c r="L618" s="4"/>
      <c r="M618" s="4"/>
      <c r="N618" s="4"/>
      <c r="O618" s="4"/>
      <c r="P618" s="4"/>
      <c r="Q618" s="4"/>
      <c r="R618" s="4"/>
      <c r="S618" s="4"/>
      <c r="T618" s="4"/>
      <c r="U618" s="4"/>
      <c r="V618" s="4"/>
      <c r="W618" s="4"/>
      <c r="X618" s="4"/>
      <c r="Y618" s="4"/>
      <c r="Z618" s="4"/>
    </row>
    <row r="619" spans="1:26" ht="15.75" customHeight="1" x14ac:dyDescent="0.2">
      <c r="A619" s="1" t="s">
        <v>1234</v>
      </c>
      <c r="B619" s="1" t="s">
        <v>1235</v>
      </c>
      <c r="C619" s="5" t="str">
        <f ca="1">IFERROR(__xludf.DUMMYFUNCTION("REGEXEXTRACT($B619, $E$2)"),"lincolnuca")</f>
        <v>lincolnuca</v>
      </c>
      <c r="E619" s="4"/>
      <c r="F619" s="4"/>
      <c r="G619" s="4"/>
      <c r="H619" s="4"/>
      <c r="I619" s="4"/>
      <c r="J619" s="4"/>
      <c r="K619" s="4"/>
      <c r="L619" s="4"/>
      <c r="M619" s="4"/>
      <c r="N619" s="4"/>
      <c r="O619" s="4"/>
      <c r="P619" s="4"/>
      <c r="Q619" s="4"/>
      <c r="R619" s="4"/>
      <c r="S619" s="4"/>
      <c r="T619" s="4"/>
      <c r="U619" s="4"/>
      <c r="V619" s="4"/>
      <c r="W619" s="4"/>
      <c r="X619" s="4"/>
      <c r="Y619" s="4"/>
      <c r="Z619" s="4"/>
    </row>
    <row r="620" spans="1:26" ht="15.75" customHeight="1" x14ac:dyDescent="0.2">
      <c r="A620" s="1" t="s">
        <v>1234</v>
      </c>
      <c r="B620" s="1" t="s">
        <v>1236</v>
      </c>
      <c r="C620" s="5" t="str">
        <f ca="1">IFERROR(__xludf.DUMMYFUNCTION("REGEXEXTRACT($B620, $E$2)"),"lincoln")</f>
        <v>lincoln</v>
      </c>
      <c r="E620" s="4"/>
      <c r="F620" s="4"/>
      <c r="G620" s="4"/>
      <c r="H620" s="4"/>
      <c r="I620" s="4"/>
      <c r="J620" s="4"/>
      <c r="K620" s="4"/>
      <c r="L620" s="4"/>
      <c r="M620" s="4"/>
      <c r="N620" s="4"/>
      <c r="O620" s="4"/>
      <c r="P620" s="4"/>
      <c r="Q620" s="4"/>
      <c r="R620" s="4"/>
      <c r="S620" s="4"/>
      <c r="T620" s="4"/>
      <c r="U620" s="4"/>
      <c r="V620" s="4"/>
      <c r="W620" s="4"/>
      <c r="X620" s="4"/>
      <c r="Y620" s="4"/>
      <c r="Z620" s="4"/>
    </row>
    <row r="621" spans="1:26" ht="15.75" customHeight="1" x14ac:dyDescent="0.2">
      <c r="A621" s="1" t="s">
        <v>1234</v>
      </c>
      <c r="B621" s="1" t="s">
        <v>1237</v>
      </c>
      <c r="C621" s="5" t="str">
        <f ca="1">IFERROR(__xludf.DUMMYFUNCTION("REGEXEXTRACT($B621, $E$2)"),"lincolnu")</f>
        <v>lincolnu</v>
      </c>
      <c r="E621" s="4"/>
      <c r="F621" s="4"/>
      <c r="G621" s="4"/>
      <c r="H621" s="4"/>
      <c r="I621" s="4"/>
      <c r="J621" s="4"/>
      <c r="K621" s="4"/>
      <c r="L621" s="4"/>
      <c r="M621" s="4"/>
      <c r="N621" s="4"/>
      <c r="O621" s="4"/>
      <c r="P621" s="4"/>
      <c r="Q621" s="4"/>
      <c r="R621" s="4"/>
      <c r="S621" s="4"/>
      <c r="T621" s="4"/>
      <c r="U621" s="4"/>
      <c r="V621" s="4"/>
      <c r="W621" s="4"/>
      <c r="X621" s="4"/>
      <c r="Y621" s="4"/>
      <c r="Z621" s="4"/>
    </row>
    <row r="622" spans="1:26" ht="15.75" customHeight="1" x14ac:dyDescent="0.2">
      <c r="A622" s="1" t="s">
        <v>1238</v>
      </c>
      <c r="B622" s="1" t="s">
        <v>1239</v>
      </c>
      <c r="C622" s="5" t="str">
        <f ca="1">IFERROR(__xludf.DUMMYFUNCTION("REGEXEXTRACT($B622, $E$2)"),"lindenwood")</f>
        <v>lindenwood</v>
      </c>
      <c r="E622" s="4"/>
      <c r="F622" s="4"/>
      <c r="G622" s="4"/>
      <c r="H622" s="4"/>
      <c r="I622" s="4"/>
      <c r="J622" s="4"/>
      <c r="K622" s="4"/>
      <c r="L622" s="4"/>
      <c r="M622" s="4"/>
      <c r="N622" s="4"/>
      <c r="O622" s="4"/>
      <c r="P622" s="4"/>
      <c r="Q622" s="4"/>
      <c r="R622" s="4"/>
      <c r="S622" s="4"/>
      <c r="T622" s="4"/>
      <c r="U622" s="4"/>
      <c r="V622" s="4"/>
      <c r="W622" s="4"/>
      <c r="X622" s="4"/>
      <c r="Y622" s="4"/>
      <c r="Z622" s="4"/>
    </row>
    <row r="623" spans="1:26" ht="15.75" customHeight="1" x14ac:dyDescent="0.2">
      <c r="A623" s="1" t="s">
        <v>1240</v>
      </c>
      <c r="B623" s="1" t="s">
        <v>1241</v>
      </c>
      <c r="C623" s="5" t="str">
        <f ca="1">IFERROR(__xludf.DUMMYFUNCTION("REGEXEXTRACT($B623, $E$2)"),"lindsey")</f>
        <v>lindsey</v>
      </c>
      <c r="E623" s="4"/>
      <c r="F623" s="4"/>
      <c r="G623" s="4"/>
      <c r="H623" s="4"/>
      <c r="I623" s="4"/>
      <c r="J623" s="4"/>
      <c r="K623" s="4"/>
      <c r="L623" s="4"/>
      <c r="M623" s="4"/>
      <c r="N623" s="4"/>
      <c r="O623" s="4"/>
      <c r="P623" s="4"/>
      <c r="Q623" s="4"/>
      <c r="R623" s="4"/>
      <c r="S623" s="4"/>
      <c r="T623" s="4"/>
      <c r="U623" s="4"/>
      <c r="V623" s="4"/>
      <c r="W623" s="4"/>
      <c r="X623" s="4"/>
      <c r="Y623" s="4"/>
      <c r="Z623" s="4"/>
    </row>
    <row r="624" spans="1:26" ht="15.75" customHeight="1" x14ac:dyDescent="0.2">
      <c r="A624" s="1" t="s">
        <v>1242</v>
      </c>
      <c r="B624" s="1" t="s">
        <v>1243</v>
      </c>
      <c r="C624" s="5" t="str">
        <f ca="1">IFERROR(__xludf.DUMMYFUNCTION("REGEXEXTRACT($B624, $E$2)"),"linfield")</f>
        <v>linfield</v>
      </c>
      <c r="E624" s="4"/>
      <c r="F624" s="4"/>
      <c r="G624" s="4"/>
      <c r="H624" s="4"/>
      <c r="I624" s="4"/>
      <c r="J624" s="4"/>
      <c r="K624" s="4"/>
      <c r="L624" s="4"/>
      <c r="M624" s="4"/>
      <c r="N624" s="4"/>
      <c r="O624" s="4"/>
      <c r="P624" s="4"/>
      <c r="Q624" s="4"/>
      <c r="R624" s="4"/>
      <c r="S624" s="4"/>
      <c r="T624" s="4"/>
      <c r="U624" s="4"/>
      <c r="V624" s="4"/>
      <c r="W624" s="4"/>
      <c r="X624" s="4"/>
      <c r="Y624" s="4"/>
      <c r="Z624" s="4"/>
    </row>
    <row r="625" spans="1:26" ht="15.75" customHeight="1" x14ac:dyDescent="0.2">
      <c r="A625" s="1" t="s">
        <v>1244</v>
      </c>
      <c r="B625" s="1" t="s">
        <v>1245</v>
      </c>
      <c r="C625" s="5" t="str">
        <f ca="1">IFERROR(__xludf.DUMMYFUNCTION("REGEXEXTRACT($B625, $E$2)"),"lipscomb")</f>
        <v>lipscomb</v>
      </c>
      <c r="E625" s="4"/>
      <c r="F625" s="4"/>
      <c r="G625" s="4"/>
      <c r="H625" s="4"/>
      <c r="I625" s="4"/>
      <c r="J625" s="4"/>
      <c r="K625" s="4"/>
      <c r="L625" s="4"/>
      <c r="M625" s="4"/>
      <c r="N625" s="4"/>
      <c r="O625" s="4"/>
      <c r="P625" s="4"/>
      <c r="Q625" s="4"/>
      <c r="R625" s="4"/>
      <c r="S625" s="4"/>
      <c r="T625" s="4"/>
      <c r="U625" s="4"/>
      <c r="V625" s="4"/>
      <c r="W625" s="4"/>
      <c r="X625" s="4"/>
      <c r="Y625" s="4"/>
      <c r="Z625" s="4"/>
    </row>
    <row r="626" spans="1:26" ht="15.75" customHeight="1" x14ac:dyDescent="0.2">
      <c r="A626" s="1" t="s">
        <v>1246</v>
      </c>
      <c r="B626" s="1" t="s">
        <v>1247</v>
      </c>
      <c r="C626" s="5" t="str">
        <f ca="1">IFERROR(__xludf.DUMMYFUNCTION("REGEXEXTRACT($B626, $E$2)"),"jtsa")</f>
        <v>jtsa</v>
      </c>
      <c r="E626" s="4"/>
      <c r="F626" s="4"/>
      <c r="G626" s="4"/>
      <c r="H626" s="4"/>
      <c r="I626" s="4"/>
      <c r="J626" s="4"/>
      <c r="K626" s="4"/>
      <c r="L626" s="4"/>
      <c r="M626" s="4"/>
      <c r="N626" s="4"/>
      <c r="O626" s="4"/>
      <c r="P626" s="4"/>
      <c r="Q626" s="4"/>
      <c r="R626" s="4"/>
      <c r="S626" s="4"/>
      <c r="T626" s="4"/>
      <c r="U626" s="4"/>
      <c r="V626" s="4"/>
      <c r="W626" s="4"/>
      <c r="X626" s="4"/>
      <c r="Y626" s="4"/>
      <c r="Z626" s="4"/>
    </row>
    <row r="627" spans="1:26" ht="15.75" customHeight="1" x14ac:dyDescent="0.2">
      <c r="A627" s="1" t="s">
        <v>1248</v>
      </c>
      <c r="B627" s="1" t="s">
        <v>1249</v>
      </c>
      <c r="C627" s="5" t="str">
        <f ca="1">IFERROR(__xludf.DUMMYFUNCTION("REGEXEXTRACT($B627, $E$2)"),"livingstone")</f>
        <v>livingstone</v>
      </c>
      <c r="E627" s="4"/>
      <c r="F627" s="4"/>
      <c r="G627" s="4"/>
      <c r="H627" s="4"/>
      <c r="I627" s="4"/>
      <c r="J627" s="4"/>
      <c r="K627" s="4"/>
      <c r="L627" s="4"/>
      <c r="M627" s="4"/>
      <c r="N627" s="4"/>
      <c r="O627" s="4"/>
      <c r="P627" s="4"/>
      <c r="Q627" s="4"/>
      <c r="R627" s="4"/>
      <c r="S627" s="4"/>
      <c r="T627" s="4"/>
      <c r="U627" s="4"/>
      <c r="V627" s="4"/>
      <c r="W627" s="4"/>
      <c r="X627" s="4"/>
      <c r="Y627" s="4"/>
      <c r="Z627" s="4"/>
    </row>
    <row r="628" spans="1:26" ht="15.75" customHeight="1" x14ac:dyDescent="0.2">
      <c r="A628" s="1" t="s">
        <v>1250</v>
      </c>
      <c r="B628" s="1" t="s">
        <v>1251</v>
      </c>
      <c r="C628" s="5" t="str">
        <f ca="1">IFERROR(__xludf.DUMMYFUNCTION("REGEXEXTRACT($B628, $E$2)"),"lockhaven")</f>
        <v>lockhaven</v>
      </c>
      <c r="E628" s="4"/>
      <c r="F628" s="4"/>
      <c r="G628" s="4"/>
      <c r="H628" s="4"/>
      <c r="I628" s="4"/>
      <c r="J628" s="4"/>
      <c r="K628" s="4"/>
      <c r="L628" s="4"/>
      <c r="M628" s="4"/>
      <c r="N628" s="4"/>
      <c r="O628" s="4"/>
      <c r="P628" s="4"/>
      <c r="Q628" s="4"/>
      <c r="R628" s="4"/>
      <c r="S628" s="4"/>
      <c r="T628" s="4"/>
      <c r="U628" s="4"/>
      <c r="V628" s="4"/>
      <c r="W628" s="4"/>
      <c r="X628" s="4"/>
      <c r="Y628" s="4"/>
      <c r="Z628" s="4"/>
    </row>
    <row r="629" spans="1:26" ht="15.75" customHeight="1" x14ac:dyDescent="0.2">
      <c r="A629" s="1" t="s">
        <v>1252</v>
      </c>
      <c r="B629" s="1" t="s">
        <v>1253</v>
      </c>
      <c r="C629" s="5" t="str">
        <f ca="1">IFERROR(__xludf.DUMMYFUNCTION("REGEXEXTRACT($B629, $E$2)"),"liu")</f>
        <v>liu</v>
      </c>
      <c r="E629" s="4"/>
      <c r="F629" s="4"/>
      <c r="G629" s="4"/>
      <c r="H629" s="4"/>
      <c r="I629" s="4"/>
      <c r="J629" s="4"/>
      <c r="K629" s="4"/>
      <c r="L629" s="4"/>
      <c r="M629" s="4"/>
      <c r="N629" s="4"/>
      <c r="O629" s="4"/>
      <c r="P629" s="4"/>
      <c r="Q629" s="4"/>
      <c r="R629" s="4"/>
      <c r="S629" s="4"/>
      <c r="T629" s="4"/>
      <c r="U629" s="4"/>
      <c r="V629" s="4"/>
      <c r="W629" s="4"/>
      <c r="X629" s="4"/>
      <c r="Y629" s="4"/>
      <c r="Z629" s="4"/>
    </row>
    <row r="630" spans="1:26" ht="15.75" customHeight="1" x14ac:dyDescent="0.2">
      <c r="A630" s="1" t="s">
        <v>1254</v>
      </c>
      <c r="B630" s="1" t="s">
        <v>1255</v>
      </c>
      <c r="C630" s="5" t="str">
        <f ca="1">IFERROR(__xludf.DUMMYFUNCTION("REGEXEXTRACT($B630, $E$2)"),"longwood")</f>
        <v>longwood</v>
      </c>
      <c r="E630" s="4"/>
      <c r="F630" s="4"/>
      <c r="G630" s="4"/>
      <c r="H630" s="4"/>
      <c r="I630" s="4"/>
      <c r="J630" s="4"/>
      <c r="K630" s="4"/>
      <c r="L630" s="4"/>
      <c r="M630" s="4"/>
      <c r="N630" s="4"/>
      <c r="O630" s="4"/>
      <c r="P630" s="4"/>
      <c r="Q630" s="4"/>
      <c r="R630" s="4"/>
      <c r="S630" s="4"/>
      <c r="T630" s="4"/>
      <c r="U630" s="4"/>
      <c r="V630" s="4"/>
      <c r="W630" s="4"/>
      <c r="X630" s="4"/>
      <c r="Y630" s="4"/>
      <c r="Z630" s="4"/>
    </row>
    <row r="631" spans="1:26" ht="15.75" customHeight="1" x14ac:dyDescent="0.2">
      <c r="A631" s="1" t="s">
        <v>1256</v>
      </c>
      <c r="B631" s="1" t="s">
        <v>1257</v>
      </c>
      <c r="C631" s="5" t="str">
        <f ca="1">IFERROR(__xludf.DUMMYFUNCTION("REGEXEXTRACT($B631, $E$2)"),"loras")</f>
        <v>loras</v>
      </c>
      <c r="E631" s="4"/>
      <c r="F631" s="4"/>
      <c r="G631" s="4"/>
      <c r="H631" s="4"/>
      <c r="I631" s="4"/>
      <c r="J631" s="4"/>
      <c r="K631" s="4"/>
      <c r="L631" s="4"/>
      <c r="M631" s="4"/>
      <c r="N631" s="4"/>
      <c r="O631" s="4"/>
      <c r="P631" s="4"/>
      <c r="Q631" s="4"/>
      <c r="R631" s="4"/>
      <c r="S631" s="4"/>
      <c r="T631" s="4"/>
      <c r="U631" s="4"/>
      <c r="V631" s="4"/>
      <c r="W631" s="4"/>
      <c r="X631" s="4"/>
      <c r="Y631" s="4"/>
      <c r="Z631" s="4"/>
    </row>
    <row r="632" spans="1:26" ht="15.75" customHeight="1" x14ac:dyDescent="0.2">
      <c r="A632" s="1" t="s">
        <v>1258</v>
      </c>
      <c r="B632" s="1" t="s">
        <v>1259</v>
      </c>
      <c r="C632" s="5" t="str">
        <f ca="1">IFERROR(__xludf.DUMMYFUNCTION("REGEXEXTRACT($B632, $E$2)"),"lacollege")</f>
        <v>lacollege</v>
      </c>
      <c r="E632" s="4"/>
      <c r="F632" s="4"/>
      <c r="G632" s="4"/>
      <c r="H632" s="4"/>
      <c r="I632" s="4"/>
      <c r="J632" s="4"/>
      <c r="K632" s="4"/>
      <c r="L632" s="4"/>
      <c r="M632" s="4"/>
      <c r="N632" s="4"/>
      <c r="O632" s="4"/>
      <c r="P632" s="4"/>
      <c r="Q632" s="4"/>
      <c r="R632" s="4"/>
      <c r="S632" s="4"/>
      <c r="T632" s="4"/>
      <c r="U632" s="4"/>
      <c r="V632" s="4"/>
      <c r="W632" s="4"/>
      <c r="X632" s="4"/>
      <c r="Y632" s="4"/>
      <c r="Z632" s="4"/>
    </row>
    <row r="633" spans="1:26" ht="15.75" customHeight="1" x14ac:dyDescent="0.2">
      <c r="A633" s="1" t="s">
        <v>1260</v>
      </c>
      <c r="B633" s="1" t="s">
        <v>1261</v>
      </c>
      <c r="C633" s="5" t="str">
        <f ca="1">IFERROR(__xludf.DUMMYFUNCTION("REGEXEXTRACT($B633, $E$2)"),"lsu")</f>
        <v>lsu</v>
      </c>
      <c r="E633" s="4"/>
      <c r="F633" s="4"/>
      <c r="G633" s="4"/>
      <c r="H633" s="4"/>
      <c r="I633" s="4"/>
      <c r="J633" s="4"/>
      <c r="K633" s="4"/>
      <c r="L633" s="4"/>
      <c r="M633" s="4"/>
      <c r="N633" s="4"/>
      <c r="O633" s="4"/>
      <c r="P633" s="4"/>
      <c r="Q633" s="4"/>
      <c r="R633" s="4"/>
      <c r="S633" s="4"/>
      <c r="T633" s="4"/>
      <c r="U633" s="4"/>
      <c r="V633" s="4"/>
      <c r="W633" s="4"/>
      <c r="X633" s="4"/>
      <c r="Y633" s="4"/>
      <c r="Z633" s="4"/>
    </row>
    <row r="634" spans="1:26" ht="15.75" customHeight="1" x14ac:dyDescent="0.2">
      <c r="A634" s="1" t="s">
        <v>1262</v>
      </c>
      <c r="B634" s="1" t="s">
        <v>1263</v>
      </c>
      <c r="C634" s="5" t="str">
        <f ca="1">IFERROR(__xludf.DUMMYFUNCTION("REGEXEXTRACT($B634, $E$2)"),"lsus")</f>
        <v>lsus</v>
      </c>
      <c r="E634" s="4"/>
      <c r="F634" s="4"/>
      <c r="G634" s="4"/>
      <c r="H634" s="4"/>
      <c r="I634" s="4"/>
      <c r="J634" s="4"/>
      <c r="K634" s="4"/>
      <c r="L634" s="4"/>
      <c r="M634" s="4"/>
      <c r="N634" s="4"/>
      <c r="O634" s="4"/>
      <c r="P634" s="4"/>
      <c r="Q634" s="4"/>
      <c r="R634" s="4"/>
      <c r="S634" s="4"/>
      <c r="T634" s="4"/>
      <c r="U634" s="4"/>
      <c r="V634" s="4"/>
      <c r="W634" s="4"/>
      <c r="X634" s="4"/>
      <c r="Y634" s="4"/>
      <c r="Z634" s="4"/>
    </row>
    <row r="635" spans="1:26" ht="15.75" customHeight="1" x14ac:dyDescent="0.2">
      <c r="A635" s="1" t="s">
        <v>1264</v>
      </c>
      <c r="B635" s="1" t="s">
        <v>1265</v>
      </c>
      <c r="C635" s="5" t="str">
        <f ca="1">IFERROR(__xludf.DUMMYFUNCTION("REGEXEXTRACT($B635, $E$2)"),"latech")</f>
        <v>latech</v>
      </c>
      <c r="E635" s="4"/>
      <c r="F635" s="4"/>
      <c r="G635" s="4"/>
      <c r="H635" s="4"/>
      <c r="I635" s="4"/>
      <c r="J635" s="4"/>
      <c r="K635" s="4"/>
      <c r="L635" s="4"/>
      <c r="M635" s="4"/>
      <c r="N635" s="4"/>
      <c r="O635" s="4"/>
      <c r="P635" s="4"/>
      <c r="Q635" s="4"/>
      <c r="R635" s="4"/>
      <c r="S635" s="4"/>
      <c r="T635" s="4"/>
      <c r="U635" s="4"/>
      <c r="V635" s="4"/>
      <c r="W635" s="4"/>
      <c r="X635" s="4"/>
      <c r="Y635" s="4"/>
      <c r="Z635" s="4"/>
    </row>
    <row r="636" spans="1:26" ht="15.75" customHeight="1" x14ac:dyDescent="0.2">
      <c r="A636" s="1" t="s">
        <v>1266</v>
      </c>
      <c r="B636" s="1" t="s">
        <v>1267</v>
      </c>
      <c r="C636" s="5" t="str">
        <f ca="1">IFERROR(__xludf.DUMMYFUNCTION("REGEXEXTRACT($B636, $E$2)"),"lourdes")</f>
        <v>lourdes</v>
      </c>
      <c r="E636" s="4"/>
      <c r="F636" s="4"/>
      <c r="G636" s="4"/>
      <c r="H636" s="4"/>
      <c r="I636" s="4"/>
      <c r="J636" s="4"/>
      <c r="K636" s="4"/>
      <c r="L636" s="4"/>
      <c r="M636" s="4"/>
      <c r="N636" s="4"/>
      <c r="O636" s="4"/>
      <c r="P636" s="4"/>
      <c r="Q636" s="4"/>
      <c r="R636" s="4"/>
      <c r="S636" s="4"/>
      <c r="T636" s="4"/>
      <c r="U636" s="4"/>
      <c r="V636" s="4"/>
      <c r="W636" s="4"/>
      <c r="X636" s="4"/>
      <c r="Y636" s="4"/>
      <c r="Z636" s="4"/>
    </row>
    <row r="637" spans="1:26" ht="15.75" customHeight="1" x14ac:dyDescent="0.2">
      <c r="A637" s="1" t="s">
        <v>1268</v>
      </c>
      <c r="B637" s="1" t="s">
        <v>1269</v>
      </c>
      <c r="C637" s="5" t="str">
        <f ca="1">IFERROR(__xludf.DUMMYFUNCTION("REGEXEXTRACT($B637, $E$2)"),"lmu")</f>
        <v>lmu</v>
      </c>
      <c r="E637" s="4"/>
      <c r="F637" s="4"/>
      <c r="G637" s="4"/>
      <c r="H637" s="4"/>
      <c r="I637" s="4"/>
      <c r="J637" s="4"/>
      <c r="K637" s="4"/>
      <c r="L637" s="4"/>
      <c r="M637" s="4"/>
      <c r="N637" s="4"/>
      <c r="O637" s="4"/>
      <c r="P637" s="4"/>
      <c r="Q637" s="4"/>
      <c r="R637" s="4"/>
      <c r="S637" s="4"/>
      <c r="T637" s="4"/>
      <c r="U637" s="4"/>
      <c r="V637" s="4"/>
      <c r="W637" s="4"/>
      <c r="X637" s="4"/>
      <c r="Y637" s="4"/>
      <c r="Z637" s="4"/>
    </row>
    <row r="638" spans="1:26" ht="15.75" customHeight="1" x14ac:dyDescent="0.2">
      <c r="A638" s="1" t="s">
        <v>1270</v>
      </c>
      <c r="B638" s="1" t="s">
        <v>1271</v>
      </c>
      <c r="C638" s="5" t="str">
        <f ca="1">IFERROR(__xludf.DUMMYFUNCTION("REGEXEXTRACT($B638, $E$2)"),"luc")</f>
        <v>luc</v>
      </c>
      <c r="E638" s="4"/>
      <c r="F638" s="4"/>
      <c r="G638" s="4"/>
      <c r="H638" s="4"/>
      <c r="I638" s="4"/>
      <c r="J638" s="4"/>
      <c r="K638" s="4"/>
      <c r="L638" s="4"/>
      <c r="M638" s="4"/>
      <c r="N638" s="4"/>
      <c r="O638" s="4"/>
      <c r="P638" s="4"/>
      <c r="Q638" s="4"/>
      <c r="R638" s="4"/>
      <c r="S638" s="4"/>
      <c r="T638" s="4"/>
      <c r="U638" s="4"/>
      <c r="V638" s="4"/>
      <c r="W638" s="4"/>
      <c r="X638" s="4"/>
      <c r="Y638" s="4"/>
      <c r="Z638" s="4"/>
    </row>
    <row r="639" spans="1:26" ht="15.75" customHeight="1" x14ac:dyDescent="0.2">
      <c r="A639" s="1" t="s">
        <v>1272</v>
      </c>
      <c r="B639" s="1" t="s">
        <v>1273</v>
      </c>
      <c r="C639" s="5" t="str">
        <f ca="1">IFERROR(__xludf.DUMMYFUNCTION("REGEXEXTRACT($B639, $E$2)"),"loyola")</f>
        <v>loyola</v>
      </c>
      <c r="E639" s="4"/>
      <c r="F639" s="4"/>
      <c r="G639" s="4"/>
      <c r="H639" s="4"/>
      <c r="I639" s="4"/>
      <c r="J639" s="4"/>
      <c r="K639" s="4"/>
      <c r="L639" s="4"/>
      <c r="M639" s="4"/>
      <c r="N639" s="4"/>
      <c r="O639" s="4"/>
      <c r="P639" s="4"/>
      <c r="Q639" s="4"/>
      <c r="R639" s="4"/>
      <c r="S639" s="4"/>
      <c r="T639" s="4"/>
      <c r="U639" s="4"/>
      <c r="V639" s="4"/>
      <c r="W639" s="4"/>
      <c r="X639" s="4"/>
      <c r="Y639" s="4"/>
      <c r="Z639" s="4"/>
    </row>
    <row r="640" spans="1:26" ht="15.75" customHeight="1" x14ac:dyDescent="0.2">
      <c r="A640" s="1" t="s">
        <v>1274</v>
      </c>
      <c r="B640" s="1" t="s">
        <v>1275</v>
      </c>
      <c r="C640" s="5" t="str">
        <f ca="1">IFERROR(__xludf.DUMMYFUNCTION("REGEXEXTRACT($B640, $E$2)"),"loyno")</f>
        <v>loyno</v>
      </c>
      <c r="E640" s="4"/>
      <c r="F640" s="4"/>
      <c r="G640" s="4"/>
      <c r="H640" s="4"/>
      <c r="I640" s="4"/>
      <c r="J640" s="4"/>
      <c r="K640" s="4"/>
      <c r="L640" s="4"/>
      <c r="M640" s="4"/>
      <c r="N640" s="4"/>
      <c r="O640" s="4"/>
      <c r="P640" s="4"/>
      <c r="Q640" s="4"/>
      <c r="R640" s="4"/>
      <c r="S640" s="4"/>
      <c r="T640" s="4"/>
      <c r="U640" s="4"/>
      <c r="V640" s="4"/>
      <c r="W640" s="4"/>
      <c r="X640" s="4"/>
      <c r="Y640" s="4"/>
      <c r="Z640" s="4"/>
    </row>
    <row r="641" spans="1:26" ht="15.75" customHeight="1" x14ac:dyDescent="0.2">
      <c r="A641" s="1" t="s">
        <v>1276</v>
      </c>
      <c r="B641" s="1" t="s">
        <v>1277</v>
      </c>
      <c r="C641" s="5" t="str">
        <f ca="1">IFERROR(__xludf.DUMMYFUNCTION("REGEXEXTRACT($B641, $E$2)"),"lcu")</f>
        <v>lcu</v>
      </c>
      <c r="E641" s="4"/>
      <c r="F641" s="4"/>
      <c r="G641" s="4"/>
      <c r="H641" s="4"/>
      <c r="I641" s="4"/>
      <c r="J641" s="4"/>
      <c r="K641" s="4"/>
      <c r="L641" s="4"/>
      <c r="M641" s="4"/>
      <c r="N641" s="4"/>
      <c r="O641" s="4"/>
      <c r="P641" s="4"/>
      <c r="Q641" s="4"/>
      <c r="R641" s="4"/>
      <c r="S641" s="4"/>
      <c r="T641" s="4"/>
      <c r="U641" s="4"/>
      <c r="V641" s="4"/>
      <c r="W641" s="4"/>
      <c r="X641" s="4"/>
      <c r="Y641" s="4"/>
      <c r="Z641" s="4"/>
    </row>
    <row r="642" spans="1:26" ht="15.75" customHeight="1" x14ac:dyDescent="0.2">
      <c r="A642" s="1" t="s">
        <v>1278</v>
      </c>
      <c r="B642" s="1" t="s">
        <v>1279</v>
      </c>
      <c r="C642" s="5" t="str">
        <f ca="1">IFERROR(__xludf.DUMMYFUNCTION("REGEXEXTRACT($B642, $E$2)"),"luther")</f>
        <v>luther</v>
      </c>
      <c r="E642" s="4"/>
      <c r="F642" s="4"/>
      <c r="G642" s="4"/>
      <c r="H642" s="4"/>
      <c r="I642" s="4"/>
      <c r="J642" s="4"/>
      <c r="K642" s="4"/>
      <c r="L642" s="4"/>
      <c r="M642" s="4"/>
      <c r="N642" s="4"/>
      <c r="O642" s="4"/>
      <c r="P642" s="4"/>
      <c r="Q642" s="4"/>
      <c r="R642" s="4"/>
      <c r="S642" s="4"/>
      <c r="T642" s="4"/>
      <c r="U642" s="4"/>
      <c r="V642" s="4"/>
      <c r="W642" s="4"/>
      <c r="X642" s="4"/>
      <c r="Y642" s="4"/>
      <c r="Z642" s="4"/>
    </row>
    <row r="643" spans="1:26" ht="15.75" customHeight="1" x14ac:dyDescent="0.2">
      <c r="A643" s="1" t="s">
        <v>1280</v>
      </c>
      <c r="B643" s="1" t="s">
        <v>1281</v>
      </c>
      <c r="C643" s="5" t="str">
        <f ca="1">IFERROR(__xludf.DUMMYFUNCTION("REGEXEXTRACT($B643, $E$2)"),"lutherrice")</f>
        <v>lutherrice</v>
      </c>
      <c r="E643" s="4"/>
      <c r="F643" s="4"/>
      <c r="G643" s="4"/>
      <c r="H643" s="4"/>
      <c r="I643" s="4"/>
      <c r="J643" s="4"/>
      <c r="K643" s="4"/>
      <c r="L643" s="4"/>
      <c r="M643" s="4"/>
      <c r="N643" s="4"/>
      <c r="O643" s="4"/>
      <c r="P643" s="4"/>
      <c r="Q643" s="4"/>
      <c r="R643" s="4"/>
      <c r="S643" s="4"/>
      <c r="T643" s="4"/>
      <c r="U643" s="4"/>
      <c r="V643" s="4"/>
      <c r="W643" s="4"/>
      <c r="X643" s="4"/>
      <c r="Y643" s="4"/>
      <c r="Z643" s="4"/>
    </row>
    <row r="644" spans="1:26" ht="15.75" customHeight="1" x14ac:dyDescent="0.2">
      <c r="A644" s="1" t="s">
        <v>1282</v>
      </c>
      <c r="B644" s="1" t="s">
        <v>1283</v>
      </c>
      <c r="C644" s="5" t="str">
        <f ca="1">IFERROR(__xludf.DUMMYFUNCTION("REGEXEXTRACT($B644, $E$2)"),"lycoming")</f>
        <v>lycoming</v>
      </c>
      <c r="E644" s="4"/>
      <c r="F644" s="4"/>
      <c r="G644" s="4"/>
      <c r="H644" s="4"/>
      <c r="I644" s="4"/>
      <c r="J644" s="4"/>
      <c r="K644" s="4"/>
      <c r="L644" s="4"/>
      <c r="M644" s="4"/>
      <c r="N644" s="4"/>
      <c r="O644" s="4"/>
      <c r="P644" s="4"/>
      <c r="Q644" s="4"/>
      <c r="R644" s="4"/>
      <c r="S644" s="4"/>
      <c r="T644" s="4"/>
      <c r="U644" s="4"/>
      <c r="V644" s="4"/>
      <c r="W644" s="4"/>
      <c r="X644" s="4"/>
      <c r="Y644" s="4"/>
      <c r="Z644" s="4"/>
    </row>
    <row r="645" spans="1:26" ht="15.75" customHeight="1" x14ac:dyDescent="0.2">
      <c r="A645" s="1" t="s">
        <v>1284</v>
      </c>
      <c r="B645" s="1" t="s">
        <v>1285</v>
      </c>
      <c r="C645" s="5" t="str">
        <f ca="1">IFERROR(__xludf.DUMMYFUNCTION("REGEXEXTRACT($B645, $E$2)"),"newhaven")</f>
        <v>newhaven</v>
      </c>
      <c r="E645" s="4"/>
      <c r="F645" s="4"/>
      <c r="G645" s="4"/>
      <c r="H645" s="4"/>
      <c r="I645" s="4"/>
      <c r="J645" s="4"/>
      <c r="K645" s="4"/>
      <c r="L645" s="4"/>
      <c r="M645" s="4"/>
      <c r="N645" s="4"/>
      <c r="O645" s="4"/>
      <c r="P645" s="4"/>
      <c r="Q645" s="4"/>
      <c r="R645" s="4"/>
      <c r="S645" s="4"/>
      <c r="T645" s="4"/>
      <c r="U645" s="4"/>
      <c r="V645" s="4"/>
      <c r="W645" s="4"/>
      <c r="X645" s="4"/>
      <c r="Y645" s="4"/>
      <c r="Z645" s="4"/>
    </row>
    <row r="646" spans="1:26" ht="15.75" customHeight="1" x14ac:dyDescent="0.2">
      <c r="A646" s="1" t="s">
        <v>1286</v>
      </c>
      <c r="B646" s="1" t="s">
        <v>1287</v>
      </c>
      <c r="C646" s="5" t="str">
        <f ca="1">IFERROR(__xludf.DUMMYFUNCTION("REGEXEXTRACT($B646, $E$2)"),"lynn")</f>
        <v>lynn</v>
      </c>
      <c r="E646" s="4"/>
      <c r="F646" s="4"/>
      <c r="G646" s="4"/>
      <c r="H646" s="4"/>
      <c r="I646" s="4"/>
      <c r="J646" s="4"/>
      <c r="K646" s="4"/>
      <c r="L646" s="4"/>
      <c r="M646" s="4"/>
      <c r="N646" s="4"/>
      <c r="O646" s="4"/>
      <c r="P646" s="4"/>
      <c r="Q646" s="4"/>
      <c r="R646" s="4"/>
      <c r="S646" s="4"/>
      <c r="T646" s="4"/>
      <c r="U646" s="4"/>
      <c r="V646" s="4"/>
      <c r="W646" s="4"/>
      <c r="X646" s="4"/>
      <c r="Y646" s="4"/>
      <c r="Z646" s="4"/>
    </row>
    <row r="647" spans="1:26" ht="15.75" customHeight="1" x14ac:dyDescent="0.2">
      <c r="A647" s="1" t="s">
        <v>1288</v>
      </c>
      <c r="B647" s="1" t="s">
        <v>1289</v>
      </c>
      <c r="C647" s="5" t="str">
        <f ca="1">IFERROR(__xludf.DUMMYFUNCTION("REGEXEXTRACT($B647, $E$2)"),"lyon")</f>
        <v>lyon</v>
      </c>
      <c r="E647" s="4"/>
      <c r="F647" s="4"/>
      <c r="G647" s="4"/>
      <c r="H647" s="4"/>
      <c r="I647" s="4"/>
      <c r="J647" s="4"/>
      <c r="K647" s="4"/>
      <c r="L647" s="4"/>
      <c r="M647" s="4"/>
      <c r="N647" s="4"/>
      <c r="O647" s="4"/>
      <c r="P647" s="4"/>
      <c r="Q647" s="4"/>
      <c r="R647" s="4"/>
      <c r="S647" s="4"/>
      <c r="T647" s="4"/>
      <c r="U647" s="4"/>
      <c r="V647" s="4"/>
      <c r="W647" s="4"/>
      <c r="X647" s="4"/>
      <c r="Y647" s="4"/>
      <c r="Z647" s="4"/>
    </row>
    <row r="648" spans="1:26" ht="15.75" customHeight="1" x14ac:dyDescent="0.2">
      <c r="A648" s="1" t="s">
        <v>1290</v>
      </c>
      <c r="B648" s="1" t="s">
        <v>1291</v>
      </c>
      <c r="C648" s="5" t="str">
        <f ca="1">IFERROR(__xludf.DUMMYFUNCTION("REGEXEXTRACT($B648, $E$2)"),"macalester")</f>
        <v>macalester</v>
      </c>
      <c r="E648" s="4"/>
      <c r="F648" s="4"/>
      <c r="G648" s="4"/>
      <c r="H648" s="4"/>
      <c r="I648" s="4"/>
      <c r="J648" s="4"/>
      <c r="K648" s="4"/>
      <c r="L648" s="4"/>
      <c r="M648" s="4"/>
      <c r="N648" s="4"/>
      <c r="O648" s="4"/>
      <c r="P648" s="4"/>
      <c r="Q648" s="4"/>
      <c r="R648" s="4"/>
      <c r="S648" s="4"/>
      <c r="T648" s="4"/>
      <c r="U648" s="4"/>
      <c r="V648" s="4"/>
      <c r="W648" s="4"/>
      <c r="X648" s="4"/>
      <c r="Y648" s="4"/>
      <c r="Z648" s="4"/>
    </row>
    <row r="649" spans="1:26" ht="15.75" customHeight="1" x14ac:dyDescent="0.2">
      <c r="A649" s="1" t="s">
        <v>1292</v>
      </c>
      <c r="B649" s="1" t="s">
        <v>1293</v>
      </c>
      <c r="C649" s="5" t="str">
        <f ca="1">IFERROR(__xludf.DUMMYFUNCTION("REGEXEXTRACT($B649, $E$2)"),"mac")</f>
        <v>mac</v>
      </c>
      <c r="E649" s="4"/>
      <c r="F649" s="4"/>
      <c r="G649" s="4"/>
      <c r="H649" s="4"/>
      <c r="I649" s="4"/>
      <c r="J649" s="4"/>
      <c r="K649" s="4"/>
      <c r="L649" s="4"/>
      <c r="M649" s="4"/>
      <c r="N649" s="4"/>
      <c r="O649" s="4"/>
      <c r="P649" s="4"/>
      <c r="Q649" s="4"/>
      <c r="R649" s="4"/>
      <c r="S649" s="4"/>
      <c r="T649" s="4"/>
      <c r="U649" s="4"/>
      <c r="V649" s="4"/>
      <c r="W649" s="4"/>
      <c r="X649" s="4"/>
      <c r="Y649" s="4"/>
      <c r="Z649" s="4"/>
    </row>
    <row r="650" spans="1:26" ht="15.75" customHeight="1" x14ac:dyDescent="0.2">
      <c r="A650" s="1" t="s">
        <v>1294</v>
      </c>
      <c r="B650" s="1" t="s">
        <v>1295</v>
      </c>
      <c r="C650" s="5" t="str">
        <f ca="1">IFERROR(__xludf.DUMMYFUNCTION("REGEXEXTRACT($B650, $E$2)"),"madonna")</f>
        <v>madonna</v>
      </c>
      <c r="E650" s="4"/>
      <c r="F650" s="4"/>
      <c r="G650" s="4"/>
      <c r="H650" s="4"/>
      <c r="I650" s="4"/>
      <c r="J650" s="4"/>
      <c r="K650" s="4"/>
      <c r="L650" s="4"/>
      <c r="M650" s="4"/>
      <c r="N650" s="4"/>
      <c r="O650" s="4"/>
      <c r="P650" s="4"/>
      <c r="Q650" s="4"/>
      <c r="R650" s="4"/>
      <c r="S650" s="4"/>
      <c r="T650" s="4"/>
      <c r="U650" s="4"/>
      <c r="V650" s="4"/>
      <c r="W650" s="4"/>
      <c r="X650" s="4"/>
      <c r="Y650" s="4"/>
      <c r="Z650" s="4"/>
    </row>
    <row r="651" spans="1:26" ht="15.75" customHeight="1" x14ac:dyDescent="0.2">
      <c r="A651" s="1" t="s">
        <v>1296</v>
      </c>
      <c r="B651" s="1" t="s">
        <v>1297</v>
      </c>
      <c r="C651" s="5" t="str">
        <f ca="1">IFERROR(__xludf.DUMMYFUNCTION("REGEXEXTRACT($B651, $E$2)"),"mum")</f>
        <v>mum</v>
      </c>
      <c r="E651" s="4"/>
      <c r="F651" s="4"/>
      <c r="G651" s="4"/>
      <c r="H651" s="4"/>
      <c r="I651" s="4"/>
      <c r="J651" s="4"/>
      <c r="K651" s="4"/>
      <c r="L651" s="4"/>
      <c r="M651" s="4"/>
      <c r="N651" s="4"/>
      <c r="O651" s="4"/>
      <c r="P651" s="4"/>
      <c r="Q651" s="4"/>
      <c r="R651" s="4"/>
      <c r="S651" s="4"/>
      <c r="T651" s="4"/>
      <c r="U651" s="4"/>
      <c r="V651" s="4"/>
      <c r="W651" s="4"/>
      <c r="X651" s="4"/>
      <c r="Y651" s="4"/>
      <c r="Z651" s="4"/>
    </row>
    <row r="652" spans="1:26" ht="15.75" customHeight="1" x14ac:dyDescent="0.2">
      <c r="A652" s="1" t="s">
        <v>1298</v>
      </c>
      <c r="B652" s="1" t="s">
        <v>1299</v>
      </c>
      <c r="C652" s="5" t="str">
        <f ca="1">IFERROR(__xludf.DUMMYFUNCTION("REGEXEXTRACT($B652, $E$2)"),"meca")</f>
        <v>meca</v>
      </c>
      <c r="E652" s="4"/>
      <c r="F652" s="4"/>
      <c r="G652" s="4"/>
      <c r="H652" s="4"/>
      <c r="I652" s="4"/>
      <c r="J652" s="4"/>
      <c r="K652" s="4"/>
      <c r="L652" s="4"/>
      <c r="M652" s="4"/>
      <c r="N652" s="4"/>
      <c r="O652" s="4"/>
      <c r="P652" s="4"/>
      <c r="Q652" s="4"/>
      <c r="R652" s="4"/>
      <c r="S652" s="4"/>
      <c r="T652" s="4"/>
      <c r="U652" s="4"/>
      <c r="V652" s="4"/>
      <c r="W652" s="4"/>
      <c r="X652" s="4"/>
      <c r="Y652" s="4"/>
      <c r="Z652" s="4"/>
    </row>
    <row r="653" spans="1:26" ht="15.75" customHeight="1" x14ac:dyDescent="0.2">
      <c r="A653" s="1" t="s">
        <v>1300</v>
      </c>
      <c r="B653" s="1" t="s">
        <v>1301</v>
      </c>
      <c r="C653" s="5" t="str">
        <f ca="1">IFERROR(__xludf.DUMMYFUNCTION("REGEXEXTRACT($B653, $E$2)"),"mma")</f>
        <v>mma</v>
      </c>
      <c r="E653" s="4"/>
      <c r="F653" s="4"/>
      <c r="G653" s="4"/>
      <c r="H653" s="4"/>
      <c r="I653" s="4"/>
      <c r="J653" s="4"/>
      <c r="K653" s="4"/>
      <c r="L653" s="4"/>
      <c r="M653" s="4"/>
      <c r="N653" s="4"/>
      <c r="O653" s="4"/>
      <c r="P653" s="4"/>
      <c r="Q653" s="4"/>
      <c r="R653" s="4"/>
      <c r="S653" s="4"/>
      <c r="T653" s="4"/>
      <c r="U653" s="4"/>
      <c r="V653" s="4"/>
      <c r="W653" s="4"/>
      <c r="X653" s="4"/>
      <c r="Y653" s="4"/>
      <c r="Z653" s="4"/>
    </row>
    <row r="654" spans="1:26" ht="15.75" customHeight="1" x14ac:dyDescent="0.2">
      <c r="A654" s="1" t="s">
        <v>1302</v>
      </c>
      <c r="B654" s="1" t="s">
        <v>1303</v>
      </c>
      <c r="C654" s="5" t="str">
        <f ca="1">IFERROR(__xludf.DUMMYFUNCTION("REGEXEXTRACT($B654, $E$2)"),"malone")</f>
        <v>malone</v>
      </c>
      <c r="E654" s="4"/>
      <c r="F654" s="4"/>
      <c r="G654" s="4"/>
      <c r="H654" s="4"/>
      <c r="I654" s="4"/>
      <c r="J654" s="4"/>
      <c r="K654" s="4"/>
      <c r="L654" s="4"/>
      <c r="M654" s="4"/>
      <c r="N654" s="4"/>
      <c r="O654" s="4"/>
      <c r="P654" s="4"/>
      <c r="Q654" s="4"/>
      <c r="R654" s="4"/>
      <c r="S654" s="4"/>
      <c r="T654" s="4"/>
      <c r="U654" s="4"/>
      <c r="V654" s="4"/>
      <c r="W654" s="4"/>
      <c r="X654" s="4"/>
      <c r="Y654" s="4"/>
      <c r="Z654" s="4"/>
    </row>
    <row r="655" spans="1:26" ht="15.75" customHeight="1" x14ac:dyDescent="0.2">
      <c r="A655" s="1" t="s">
        <v>1304</v>
      </c>
      <c r="B655" s="1" t="s">
        <v>1305</v>
      </c>
      <c r="C655" s="5" t="str">
        <f ca="1">IFERROR(__xludf.DUMMYFUNCTION("REGEXEXTRACT($B655, $E$2)"),"manchester")</f>
        <v>manchester</v>
      </c>
      <c r="E655" s="4"/>
      <c r="F655" s="4"/>
      <c r="G655" s="4"/>
      <c r="H655" s="4"/>
      <c r="I655" s="4"/>
      <c r="J655" s="4"/>
      <c r="K655" s="4"/>
      <c r="L655" s="4"/>
      <c r="M655" s="4"/>
      <c r="N655" s="4"/>
      <c r="O655" s="4"/>
      <c r="P655" s="4"/>
      <c r="Q655" s="4"/>
      <c r="R655" s="4"/>
      <c r="S655" s="4"/>
      <c r="T655" s="4"/>
      <c r="U655" s="4"/>
      <c r="V655" s="4"/>
      <c r="W655" s="4"/>
      <c r="X655" s="4"/>
      <c r="Y655" s="4"/>
      <c r="Z655" s="4"/>
    </row>
    <row r="656" spans="1:26" ht="15.75" customHeight="1" x14ac:dyDescent="0.2">
      <c r="A656" s="1" t="s">
        <v>1306</v>
      </c>
      <c r="B656" s="1" t="s">
        <v>1307</v>
      </c>
      <c r="C656" s="5" t="str">
        <f ca="1">IFERROR(__xludf.DUMMYFUNCTION("REGEXEXTRACT($B656, $E$2)"),"mccks")</f>
        <v>mccks</v>
      </c>
      <c r="E656" s="4"/>
      <c r="F656" s="4"/>
      <c r="G656" s="4"/>
      <c r="H656" s="4"/>
      <c r="I656" s="4"/>
      <c r="J656" s="4"/>
      <c r="K656" s="4"/>
      <c r="L656" s="4"/>
      <c r="M656" s="4"/>
      <c r="N656" s="4"/>
      <c r="O656" s="4"/>
      <c r="P656" s="4"/>
      <c r="Q656" s="4"/>
      <c r="R656" s="4"/>
      <c r="S656" s="4"/>
      <c r="T656" s="4"/>
      <c r="U656" s="4"/>
      <c r="V656" s="4"/>
      <c r="W656" s="4"/>
      <c r="X656" s="4"/>
      <c r="Y656" s="4"/>
      <c r="Z656" s="4"/>
    </row>
    <row r="657" spans="1:26" ht="15.75" customHeight="1" x14ac:dyDescent="0.2">
      <c r="A657" s="1" t="s">
        <v>1308</v>
      </c>
      <c r="B657" s="1" t="s">
        <v>1309</v>
      </c>
      <c r="C657" s="5" t="str">
        <f ca="1">IFERROR(__xludf.DUMMYFUNCTION("REGEXEXTRACT($B657, $E$2)"),"manhattan")</f>
        <v>manhattan</v>
      </c>
      <c r="E657" s="4"/>
      <c r="F657" s="4"/>
      <c r="G657" s="4"/>
      <c r="H657" s="4"/>
      <c r="I657" s="4"/>
      <c r="J657" s="4"/>
      <c r="K657" s="4"/>
      <c r="L657" s="4"/>
      <c r="M657" s="4"/>
      <c r="N657" s="4"/>
      <c r="O657" s="4"/>
      <c r="P657" s="4"/>
      <c r="Q657" s="4"/>
      <c r="R657" s="4"/>
      <c r="S657" s="4"/>
      <c r="T657" s="4"/>
      <c r="U657" s="4"/>
      <c r="V657" s="4"/>
      <c r="W657" s="4"/>
      <c r="X657" s="4"/>
      <c r="Y657" s="4"/>
      <c r="Z657" s="4"/>
    </row>
    <row r="658" spans="1:26" ht="15.75" customHeight="1" x14ac:dyDescent="0.2">
      <c r="A658" s="1" t="s">
        <v>1310</v>
      </c>
      <c r="B658" s="1" t="s">
        <v>1311</v>
      </c>
      <c r="C658" s="5" t="str">
        <f ca="1">IFERROR(__xludf.DUMMYFUNCTION("REGEXEXTRACT($B658, $E$2)"),"msmnyc")</f>
        <v>msmnyc</v>
      </c>
      <c r="E658" s="4"/>
      <c r="F658" s="4"/>
      <c r="G658" s="4"/>
      <c r="H658" s="4"/>
      <c r="I658" s="4"/>
      <c r="J658" s="4"/>
      <c r="K658" s="4"/>
      <c r="L658" s="4"/>
      <c r="M658" s="4"/>
      <c r="N658" s="4"/>
      <c r="O658" s="4"/>
      <c r="P658" s="4"/>
      <c r="Q658" s="4"/>
      <c r="R658" s="4"/>
      <c r="S658" s="4"/>
      <c r="T658" s="4"/>
      <c r="U658" s="4"/>
      <c r="V658" s="4"/>
      <c r="W658" s="4"/>
      <c r="X658" s="4"/>
      <c r="Y658" s="4"/>
      <c r="Z658" s="4"/>
    </row>
    <row r="659" spans="1:26" ht="15.75" customHeight="1" x14ac:dyDescent="0.2">
      <c r="A659" s="1" t="s">
        <v>1312</v>
      </c>
      <c r="B659" s="1" t="s">
        <v>1313</v>
      </c>
      <c r="C659" s="5" t="str">
        <f ca="1">IFERROR(__xludf.DUMMYFUNCTION("REGEXEXTRACT($B659, $E$2)"),"mville")</f>
        <v>mville</v>
      </c>
      <c r="E659" s="4"/>
      <c r="F659" s="4"/>
      <c r="G659" s="4"/>
      <c r="H659" s="4"/>
      <c r="I659" s="4"/>
      <c r="J659" s="4"/>
      <c r="K659" s="4"/>
      <c r="L659" s="4"/>
      <c r="M659" s="4"/>
      <c r="N659" s="4"/>
      <c r="O659" s="4"/>
      <c r="P659" s="4"/>
      <c r="Q659" s="4"/>
      <c r="R659" s="4"/>
      <c r="S659" s="4"/>
      <c r="T659" s="4"/>
      <c r="U659" s="4"/>
      <c r="V659" s="4"/>
      <c r="W659" s="4"/>
      <c r="X659" s="4"/>
      <c r="Y659" s="4"/>
      <c r="Z659" s="4"/>
    </row>
    <row r="660" spans="1:26" ht="15.75" customHeight="1" x14ac:dyDescent="0.2">
      <c r="A660" s="1" t="s">
        <v>1314</v>
      </c>
      <c r="B660" s="1" t="s">
        <v>1315</v>
      </c>
      <c r="C660" s="5" t="str">
        <f ca="1">IFERROR(__xludf.DUMMYFUNCTION("REGEXEXTRACT($B660, $E$2)"),"mansfield")</f>
        <v>mansfield</v>
      </c>
      <c r="E660" s="4"/>
      <c r="F660" s="4"/>
      <c r="G660" s="4"/>
      <c r="H660" s="4"/>
      <c r="I660" s="4"/>
      <c r="J660" s="4"/>
      <c r="K660" s="4"/>
      <c r="L660" s="4"/>
      <c r="M660" s="4"/>
      <c r="N660" s="4"/>
      <c r="O660" s="4"/>
      <c r="P660" s="4"/>
      <c r="Q660" s="4"/>
      <c r="R660" s="4"/>
      <c r="S660" s="4"/>
      <c r="T660" s="4"/>
      <c r="U660" s="4"/>
      <c r="V660" s="4"/>
      <c r="W660" s="4"/>
      <c r="X660" s="4"/>
      <c r="Y660" s="4"/>
      <c r="Z660" s="4"/>
    </row>
    <row r="661" spans="1:26" ht="15.75" customHeight="1" x14ac:dyDescent="0.2">
      <c r="A661" s="1" t="s">
        <v>1316</v>
      </c>
      <c r="B661" s="1" t="s">
        <v>1317</v>
      </c>
      <c r="C661" s="5" t="str">
        <f ca="1">IFERROR(__xludf.DUMMYFUNCTION("REGEXEXTRACT($B661, $E$2)"),"mbu")</f>
        <v>mbu</v>
      </c>
      <c r="E661" s="4"/>
      <c r="F661" s="4"/>
      <c r="G661" s="4"/>
      <c r="H661" s="4"/>
      <c r="I661" s="4"/>
      <c r="J661" s="4"/>
      <c r="K661" s="4"/>
      <c r="L661" s="4"/>
      <c r="M661" s="4"/>
      <c r="N661" s="4"/>
      <c r="O661" s="4"/>
      <c r="P661" s="4"/>
      <c r="Q661" s="4"/>
      <c r="R661" s="4"/>
      <c r="S661" s="4"/>
      <c r="T661" s="4"/>
      <c r="U661" s="4"/>
      <c r="V661" s="4"/>
      <c r="W661" s="4"/>
      <c r="X661" s="4"/>
      <c r="Y661" s="4"/>
      <c r="Z661" s="4"/>
    </row>
    <row r="662" spans="1:26" ht="15.75" customHeight="1" x14ac:dyDescent="0.2">
      <c r="A662" s="1" t="s">
        <v>1318</v>
      </c>
      <c r="B662" s="1" t="s">
        <v>1319</v>
      </c>
      <c r="C662" s="5" t="str">
        <f ca="1">IFERROR(__xludf.DUMMYFUNCTION("REGEXEXTRACT($B662, $E$2)"),"marian")</f>
        <v>marian</v>
      </c>
      <c r="E662" s="4"/>
      <c r="F662" s="4"/>
      <c r="G662" s="4"/>
      <c r="H662" s="4"/>
      <c r="I662" s="4"/>
      <c r="J662" s="4"/>
      <c r="K662" s="4"/>
      <c r="L662" s="4"/>
      <c r="M662" s="4"/>
      <c r="N662" s="4"/>
      <c r="O662" s="4"/>
      <c r="P662" s="4"/>
      <c r="Q662" s="4"/>
      <c r="R662" s="4"/>
      <c r="S662" s="4"/>
      <c r="T662" s="4"/>
      <c r="U662" s="4"/>
      <c r="V662" s="4"/>
      <c r="W662" s="4"/>
      <c r="X662" s="4"/>
      <c r="Y662" s="4"/>
      <c r="Z662" s="4"/>
    </row>
    <row r="663" spans="1:26" ht="15.75" customHeight="1" x14ac:dyDescent="0.2">
      <c r="A663" s="1" t="s">
        <v>1320</v>
      </c>
      <c r="B663" s="1" t="s">
        <v>1321</v>
      </c>
      <c r="C663" s="5" t="str">
        <f ca="1">IFERROR(__xludf.DUMMYFUNCTION("REGEXEXTRACT($B663, $E$2)"),"marianuniversity")</f>
        <v>marianuniversity</v>
      </c>
      <c r="E663" s="4"/>
      <c r="F663" s="4"/>
      <c r="G663" s="4"/>
      <c r="H663" s="4"/>
      <c r="I663" s="4"/>
      <c r="J663" s="4"/>
      <c r="K663" s="4"/>
      <c r="L663" s="4"/>
      <c r="M663" s="4"/>
      <c r="N663" s="4"/>
      <c r="O663" s="4"/>
      <c r="P663" s="4"/>
      <c r="Q663" s="4"/>
      <c r="R663" s="4"/>
      <c r="S663" s="4"/>
      <c r="T663" s="4"/>
      <c r="U663" s="4"/>
      <c r="V663" s="4"/>
      <c r="W663" s="4"/>
      <c r="X663" s="4"/>
      <c r="Y663" s="4"/>
      <c r="Z663" s="4"/>
    </row>
    <row r="664" spans="1:26" ht="15.75" customHeight="1" x14ac:dyDescent="0.2">
      <c r="A664" s="1" t="s">
        <v>1322</v>
      </c>
      <c r="B664" s="1" t="s">
        <v>1323</v>
      </c>
      <c r="C664" s="5" t="str">
        <f ca="1">IFERROR(__xludf.DUMMYFUNCTION("REGEXEXTRACT($B664, $E$2)"),"marietta")</f>
        <v>marietta</v>
      </c>
      <c r="E664" s="4"/>
      <c r="F664" s="4"/>
      <c r="G664" s="4"/>
      <c r="H664" s="4"/>
      <c r="I664" s="4"/>
      <c r="J664" s="4"/>
      <c r="K664" s="4"/>
      <c r="L664" s="4"/>
      <c r="M664" s="4"/>
      <c r="N664" s="4"/>
      <c r="O664" s="4"/>
      <c r="P664" s="4"/>
      <c r="Q664" s="4"/>
      <c r="R664" s="4"/>
      <c r="S664" s="4"/>
      <c r="T664" s="4"/>
      <c r="U664" s="4"/>
      <c r="V664" s="4"/>
      <c r="W664" s="4"/>
      <c r="X664" s="4"/>
      <c r="Y664" s="4"/>
      <c r="Z664" s="4"/>
    </row>
    <row r="665" spans="1:26" ht="15.75" customHeight="1" x14ac:dyDescent="0.2">
      <c r="A665" s="1" t="s">
        <v>1324</v>
      </c>
      <c r="B665" s="1" t="s">
        <v>1325</v>
      </c>
      <c r="C665" s="5" t="str">
        <f ca="1">IFERROR(__xludf.DUMMYFUNCTION("REGEXEXTRACT($B665, $E$2)"),"marist")</f>
        <v>marist</v>
      </c>
      <c r="E665" s="4"/>
      <c r="F665" s="4"/>
      <c r="G665" s="4"/>
      <c r="H665" s="4"/>
      <c r="I665" s="4"/>
      <c r="J665" s="4"/>
      <c r="K665" s="4"/>
      <c r="L665" s="4"/>
      <c r="M665" s="4"/>
      <c r="N665" s="4"/>
      <c r="O665" s="4"/>
      <c r="P665" s="4"/>
      <c r="Q665" s="4"/>
      <c r="R665" s="4"/>
      <c r="S665" s="4"/>
      <c r="T665" s="4"/>
      <c r="U665" s="4"/>
      <c r="V665" s="4"/>
      <c r="W665" s="4"/>
      <c r="X665" s="4"/>
      <c r="Y665" s="4"/>
      <c r="Z665" s="4"/>
    </row>
    <row r="666" spans="1:26" ht="15.75" customHeight="1" x14ac:dyDescent="0.2">
      <c r="A666" s="1" t="s">
        <v>1326</v>
      </c>
      <c r="B666" s="1" t="s">
        <v>1327</v>
      </c>
      <c r="C666" s="5" t="str">
        <f ca="1">IFERROR(__xludf.DUMMYFUNCTION("REGEXEXTRACT($B666, $E$2)"),"marlboro")</f>
        <v>marlboro</v>
      </c>
      <c r="E666" s="4"/>
      <c r="F666" s="4"/>
      <c r="G666" s="4"/>
      <c r="H666" s="4"/>
      <c r="I666" s="4"/>
      <c r="J666" s="4"/>
      <c r="K666" s="4"/>
      <c r="L666" s="4"/>
      <c r="M666" s="4"/>
      <c r="N666" s="4"/>
      <c r="O666" s="4"/>
      <c r="P666" s="4"/>
      <c r="Q666" s="4"/>
      <c r="R666" s="4"/>
      <c r="S666" s="4"/>
      <c r="T666" s="4"/>
      <c r="U666" s="4"/>
      <c r="V666" s="4"/>
      <c r="W666" s="4"/>
      <c r="X666" s="4"/>
      <c r="Y666" s="4"/>
      <c r="Z666" s="4"/>
    </row>
    <row r="667" spans="1:26" ht="15.75" customHeight="1" x14ac:dyDescent="0.2">
      <c r="A667" s="1" t="s">
        <v>1328</v>
      </c>
      <c r="B667" s="1" t="s">
        <v>1329</v>
      </c>
      <c r="C667" s="5" t="str">
        <f ca="1">IFERROR(__xludf.DUMMYFUNCTION("REGEXEXTRACT($B667, $E$2)"),"mu")</f>
        <v>mu</v>
      </c>
      <c r="E667" s="4"/>
      <c r="F667" s="4"/>
      <c r="G667" s="4"/>
      <c r="H667" s="4"/>
      <c r="I667" s="4"/>
      <c r="J667" s="4"/>
      <c r="K667" s="4"/>
      <c r="L667" s="4"/>
      <c r="M667" s="4"/>
      <c r="N667" s="4"/>
      <c r="O667" s="4"/>
      <c r="P667" s="4"/>
      <c r="Q667" s="4"/>
      <c r="R667" s="4"/>
      <c r="S667" s="4"/>
      <c r="T667" s="4"/>
      <c r="U667" s="4"/>
      <c r="V667" s="4"/>
      <c r="W667" s="4"/>
      <c r="X667" s="4"/>
      <c r="Y667" s="4"/>
      <c r="Z667" s="4"/>
    </row>
    <row r="668" spans="1:26" ht="15.75" customHeight="1" x14ac:dyDescent="0.2">
      <c r="A668" s="1" t="s">
        <v>1328</v>
      </c>
      <c r="B668" s="1" t="s">
        <v>1330</v>
      </c>
      <c r="C668" s="5" t="str">
        <f ca="1">IFERROR(__xludf.DUMMYFUNCTION("REGEXEXTRACT($B668, $E$2)"),"marquette")</f>
        <v>marquette</v>
      </c>
      <c r="E668" s="4"/>
      <c r="F668" s="4"/>
      <c r="G668" s="4"/>
      <c r="H668" s="4"/>
      <c r="I668" s="4"/>
      <c r="J668" s="4"/>
      <c r="K668" s="4"/>
      <c r="L668" s="4"/>
      <c r="M668" s="4"/>
      <c r="N668" s="4"/>
      <c r="O668" s="4"/>
      <c r="P668" s="4"/>
      <c r="Q668" s="4"/>
      <c r="R668" s="4"/>
      <c r="S668" s="4"/>
      <c r="T668" s="4"/>
      <c r="U668" s="4"/>
      <c r="V668" s="4"/>
      <c r="W668" s="4"/>
      <c r="X668" s="4"/>
      <c r="Y668" s="4"/>
      <c r="Z668" s="4"/>
    </row>
    <row r="669" spans="1:26" ht="15.75" customHeight="1" x14ac:dyDescent="0.2">
      <c r="A669" s="1" t="s">
        <v>1331</v>
      </c>
      <c r="B669" s="1" t="s">
        <v>1332</v>
      </c>
      <c r="C669" s="5" t="str">
        <f ca="1">IFERROR(__xludf.DUMMYFUNCTION("REGEXEXTRACT($B669, $E$2)"),"mhu")</f>
        <v>mhu</v>
      </c>
      <c r="E669" s="4"/>
      <c r="F669" s="4"/>
      <c r="G669" s="4"/>
      <c r="H669" s="4"/>
      <c r="I669" s="4"/>
      <c r="J669" s="4"/>
      <c r="K669" s="4"/>
      <c r="L669" s="4"/>
      <c r="M669" s="4"/>
      <c r="N669" s="4"/>
      <c r="O669" s="4"/>
      <c r="P669" s="4"/>
      <c r="Q669" s="4"/>
      <c r="R669" s="4"/>
      <c r="S669" s="4"/>
      <c r="T669" s="4"/>
      <c r="U669" s="4"/>
      <c r="V669" s="4"/>
      <c r="W669" s="4"/>
      <c r="X669" s="4"/>
      <c r="Y669" s="4"/>
      <c r="Z669" s="4"/>
    </row>
    <row r="670" spans="1:26" ht="15.75" customHeight="1" x14ac:dyDescent="0.2">
      <c r="A670" s="1" t="s">
        <v>1333</v>
      </c>
      <c r="B670" s="1" t="s">
        <v>1334</v>
      </c>
      <c r="C670" s="5" t="str">
        <f ca="1">IFERROR(__xludf.DUMMYFUNCTION("REGEXEXTRACT($B670, $E$2)"),"marshall")</f>
        <v>marshall</v>
      </c>
      <c r="E670" s="4"/>
      <c r="F670" s="4"/>
      <c r="G670" s="4"/>
      <c r="H670" s="4"/>
      <c r="I670" s="4"/>
      <c r="J670" s="4"/>
      <c r="K670" s="4"/>
      <c r="L670" s="4"/>
      <c r="M670" s="4"/>
      <c r="N670" s="4"/>
      <c r="O670" s="4"/>
      <c r="P670" s="4"/>
      <c r="Q670" s="4"/>
      <c r="R670" s="4"/>
      <c r="S670" s="4"/>
      <c r="T670" s="4"/>
      <c r="U670" s="4"/>
      <c r="V670" s="4"/>
      <c r="W670" s="4"/>
      <c r="X670" s="4"/>
      <c r="Y670" s="4"/>
      <c r="Z670" s="4"/>
    </row>
    <row r="671" spans="1:26" ht="15.75" customHeight="1" x14ac:dyDescent="0.2">
      <c r="A671" s="1" t="s">
        <v>1335</v>
      </c>
      <c r="B671" s="1" t="s">
        <v>1336</v>
      </c>
      <c r="C671" s="5" t="str">
        <f ca="1">IFERROR(__xludf.DUMMYFUNCTION("REGEXEXTRACT($B671, $E$2)"),"mlc-wels")</f>
        <v>mlc-wels</v>
      </c>
      <c r="E671" s="4"/>
      <c r="F671" s="4"/>
      <c r="G671" s="4"/>
      <c r="H671" s="4"/>
      <c r="I671" s="4"/>
      <c r="J671" s="4"/>
      <c r="K671" s="4"/>
      <c r="L671" s="4"/>
      <c r="M671" s="4"/>
      <c r="N671" s="4"/>
      <c r="O671" s="4"/>
      <c r="P671" s="4"/>
      <c r="Q671" s="4"/>
      <c r="R671" s="4"/>
      <c r="S671" s="4"/>
      <c r="T671" s="4"/>
      <c r="U671" s="4"/>
      <c r="V671" s="4"/>
      <c r="W671" s="4"/>
      <c r="X671" s="4"/>
      <c r="Y671" s="4"/>
      <c r="Z671" s="4"/>
    </row>
    <row r="672" spans="1:26" ht="15.75" customHeight="1" x14ac:dyDescent="0.2">
      <c r="A672" s="1" t="s">
        <v>1337</v>
      </c>
      <c r="B672" s="1" t="s">
        <v>1338</v>
      </c>
      <c r="C672" s="5" t="str">
        <f ca="1">IFERROR(__xludf.DUMMYFUNCTION("REGEXEXTRACT($B672, $E$2)"),"martinmethodist")</f>
        <v>martinmethodist</v>
      </c>
      <c r="E672" s="4"/>
      <c r="F672" s="4"/>
      <c r="G672" s="4"/>
      <c r="H672" s="4"/>
      <c r="I672" s="4"/>
      <c r="J672" s="4"/>
      <c r="K672" s="4"/>
      <c r="L672" s="4"/>
      <c r="M672" s="4"/>
      <c r="N672" s="4"/>
      <c r="O672" s="4"/>
      <c r="P672" s="4"/>
      <c r="Q672" s="4"/>
      <c r="R672" s="4"/>
      <c r="S672" s="4"/>
      <c r="T672" s="4"/>
      <c r="U672" s="4"/>
      <c r="V672" s="4"/>
      <c r="W672" s="4"/>
      <c r="X672" s="4"/>
      <c r="Y672" s="4"/>
      <c r="Z672" s="4"/>
    </row>
    <row r="673" spans="1:26" ht="15.75" customHeight="1" x14ac:dyDescent="0.2">
      <c r="A673" s="1" t="s">
        <v>1339</v>
      </c>
      <c r="B673" s="1" t="s">
        <v>1340</v>
      </c>
      <c r="C673" s="5" t="str">
        <f ca="1">IFERROR(__xludf.DUMMYFUNCTION("REGEXEXTRACT($B673, $E$2)"),"martin")</f>
        <v>martin</v>
      </c>
      <c r="E673" s="4"/>
      <c r="F673" s="4"/>
      <c r="G673" s="4"/>
      <c r="H673" s="4"/>
      <c r="I673" s="4"/>
      <c r="J673" s="4"/>
      <c r="K673" s="4"/>
      <c r="L673" s="4"/>
      <c r="M673" s="4"/>
      <c r="N673" s="4"/>
      <c r="O673" s="4"/>
      <c r="P673" s="4"/>
      <c r="Q673" s="4"/>
      <c r="R673" s="4"/>
      <c r="S673" s="4"/>
      <c r="T673" s="4"/>
      <c r="U673" s="4"/>
      <c r="V673" s="4"/>
      <c r="W673" s="4"/>
      <c r="X673" s="4"/>
      <c r="Y673" s="4"/>
      <c r="Z673" s="4"/>
    </row>
    <row r="674" spans="1:26" ht="15.75" customHeight="1" x14ac:dyDescent="0.2">
      <c r="A674" s="1" t="s">
        <v>1341</v>
      </c>
      <c r="B674" s="1" t="s">
        <v>1342</v>
      </c>
      <c r="C674" s="5" t="str">
        <f ca="1">IFERROR(__xludf.DUMMYFUNCTION("REGEXEXTRACT($B674, $E$2)"),"marybaldwin")</f>
        <v>marybaldwin</v>
      </c>
      <c r="E674" s="4"/>
      <c r="F674" s="4"/>
      <c r="G674" s="4"/>
      <c r="H674" s="4"/>
      <c r="I674" s="4"/>
      <c r="J674" s="4"/>
      <c r="K674" s="4"/>
      <c r="L674" s="4"/>
      <c r="M674" s="4"/>
      <c r="N674" s="4"/>
      <c r="O674" s="4"/>
      <c r="P674" s="4"/>
      <c r="Q674" s="4"/>
      <c r="R674" s="4"/>
      <c r="S674" s="4"/>
      <c r="T674" s="4"/>
      <c r="U674" s="4"/>
      <c r="V674" s="4"/>
      <c r="W674" s="4"/>
      <c r="X674" s="4"/>
      <c r="Y674" s="4"/>
      <c r="Z674" s="4"/>
    </row>
    <row r="675" spans="1:26" ht="15.75" customHeight="1" x14ac:dyDescent="0.2">
      <c r="A675" s="1" t="s">
        <v>1343</v>
      </c>
      <c r="B675" s="1" t="s">
        <v>1344</v>
      </c>
      <c r="C675" s="5" t="str">
        <f ca="1">IFERROR(__xludf.DUMMYFUNCTION("REGEXEXTRACT($B675, $E$2)"),"marygrove")</f>
        <v>marygrove</v>
      </c>
      <c r="E675" s="4"/>
      <c r="F675" s="4"/>
      <c r="G675" s="4"/>
      <c r="H675" s="4"/>
      <c r="I675" s="4"/>
      <c r="J675" s="4"/>
      <c r="K675" s="4"/>
      <c r="L675" s="4"/>
      <c r="M675" s="4"/>
      <c r="N675" s="4"/>
      <c r="O675" s="4"/>
      <c r="P675" s="4"/>
      <c r="Q675" s="4"/>
      <c r="R675" s="4"/>
      <c r="S675" s="4"/>
      <c r="T675" s="4"/>
      <c r="U675" s="4"/>
      <c r="V675" s="4"/>
      <c r="W675" s="4"/>
      <c r="X675" s="4"/>
      <c r="Y675" s="4"/>
      <c r="Z675" s="4"/>
    </row>
    <row r="676" spans="1:26" ht="15.75" customHeight="1" x14ac:dyDescent="0.2">
      <c r="A676" s="1" t="s">
        <v>1345</v>
      </c>
      <c r="B676" s="1" t="s">
        <v>1346</v>
      </c>
      <c r="C676" s="5" t="str">
        <f ca="1">IFERROR(__xludf.DUMMYFUNCTION("REGEXEXTRACT($B676, $E$2)"),"mica")</f>
        <v>mica</v>
      </c>
      <c r="E676" s="4"/>
      <c r="F676" s="4"/>
      <c r="G676" s="4"/>
      <c r="H676" s="4"/>
      <c r="I676" s="4"/>
      <c r="J676" s="4"/>
      <c r="K676" s="4"/>
      <c r="L676" s="4"/>
      <c r="M676" s="4"/>
      <c r="N676" s="4"/>
      <c r="O676" s="4"/>
      <c r="P676" s="4"/>
      <c r="Q676" s="4"/>
      <c r="R676" s="4"/>
      <c r="S676" s="4"/>
      <c r="T676" s="4"/>
      <c r="U676" s="4"/>
      <c r="V676" s="4"/>
      <c r="W676" s="4"/>
      <c r="X676" s="4"/>
      <c r="Y676" s="4"/>
      <c r="Z676" s="4"/>
    </row>
    <row r="677" spans="1:26" ht="15.75" customHeight="1" x14ac:dyDescent="0.2">
      <c r="A677" s="1" t="s">
        <v>1347</v>
      </c>
      <c r="B677" s="1" t="s">
        <v>1348</v>
      </c>
      <c r="C677" s="5" t="str">
        <f ca="1">IFERROR(__xludf.DUMMYFUNCTION("REGEXEXTRACT($B677, $E$2)"),"marylhurst")</f>
        <v>marylhurst</v>
      </c>
      <c r="E677" s="4"/>
      <c r="F677" s="4"/>
      <c r="G677" s="4"/>
      <c r="H677" s="4"/>
      <c r="I677" s="4"/>
      <c r="J677" s="4"/>
      <c r="K677" s="4"/>
      <c r="L677" s="4"/>
      <c r="M677" s="4"/>
      <c r="N677" s="4"/>
      <c r="O677" s="4"/>
      <c r="P677" s="4"/>
      <c r="Q677" s="4"/>
      <c r="R677" s="4"/>
      <c r="S677" s="4"/>
      <c r="T677" s="4"/>
      <c r="U677" s="4"/>
      <c r="V677" s="4"/>
      <c r="W677" s="4"/>
      <c r="X677" s="4"/>
      <c r="Y677" s="4"/>
      <c r="Z677" s="4"/>
    </row>
    <row r="678" spans="1:26" ht="15.75" customHeight="1" x14ac:dyDescent="0.2">
      <c r="A678" s="1" t="s">
        <v>1349</v>
      </c>
      <c r="B678" s="1" t="s">
        <v>1350</v>
      </c>
      <c r="C678" s="5" t="str">
        <f ca="1">IFERROR(__xludf.DUMMYFUNCTION("REGEXEXTRACT($B678, $E$2)"),"marymountcalifornia")</f>
        <v>marymountcalifornia</v>
      </c>
      <c r="E678" s="4"/>
      <c r="F678" s="4"/>
      <c r="G678" s="4"/>
      <c r="H678" s="4"/>
      <c r="I678" s="4"/>
      <c r="J678" s="4"/>
      <c r="K678" s="4"/>
      <c r="L678" s="4"/>
      <c r="M678" s="4"/>
      <c r="N678" s="4"/>
      <c r="O678" s="4"/>
      <c r="P678" s="4"/>
      <c r="Q678" s="4"/>
      <c r="R678" s="4"/>
      <c r="S678" s="4"/>
      <c r="T678" s="4"/>
      <c r="U678" s="4"/>
      <c r="V678" s="4"/>
      <c r="W678" s="4"/>
      <c r="X678" s="4"/>
      <c r="Y678" s="4"/>
      <c r="Z678" s="4"/>
    </row>
    <row r="679" spans="1:26" ht="15.75" customHeight="1" x14ac:dyDescent="0.2">
      <c r="A679" s="1" t="s">
        <v>1351</v>
      </c>
      <c r="B679" s="1" t="s">
        <v>1352</v>
      </c>
      <c r="C679" s="5" t="str">
        <f ca="1">IFERROR(__xludf.DUMMYFUNCTION("REGEXEXTRACT($B679, $E$2)"),"mmm")</f>
        <v>mmm</v>
      </c>
      <c r="E679" s="4"/>
      <c r="F679" s="4"/>
      <c r="G679" s="4"/>
      <c r="H679" s="4"/>
      <c r="I679" s="4"/>
      <c r="J679" s="4"/>
      <c r="K679" s="4"/>
      <c r="L679" s="4"/>
      <c r="M679" s="4"/>
      <c r="N679" s="4"/>
      <c r="O679" s="4"/>
      <c r="P679" s="4"/>
      <c r="Q679" s="4"/>
      <c r="R679" s="4"/>
      <c r="S679" s="4"/>
      <c r="T679" s="4"/>
      <c r="U679" s="4"/>
      <c r="V679" s="4"/>
      <c r="W679" s="4"/>
      <c r="X679" s="4"/>
      <c r="Y679" s="4"/>
      <c r="Z679" s="4"/>
    </row>
    <row r="680" spans="1:26" ht="15.75" customHeight="1" x14ac:dyDescent="0.2">
      <c r="A680" s="1" t="s">
        <v>1353</v>
      </c>
      <c r="B680" s="1" t="s">
        <v>1354</v>
      </c>
      <c r="C680" s="5" t="str">
        <f ca="1">IFERROR(__xludf.DUMMYFUNCTION("REGEXEXTRACT($B680, $E$2)"),"marymount")</f>
        <v>marymount</v>
      </c>
      <c r="E680" s="4"/>
      <c r="F680" s="4"/>
      <c r="G680" s="4"/>
      <c r="H680" s="4"/>
      <c r="I680" s="4"/>
      <c r="J680" s="4"/>
      <c r="K680" s="4"/>
      <c r="L680" s="4"/>
      <c r="M680" s="4"/>
      <c r="N680" s="4"/>
      <c r="O680" s="4"/>
      <c r="P680" s="4"/>
      <c r="Q680" s="4"/>
      <c r="R680" s="4"/>
      <c r="S680" s="4"/>
      <c r="T680" s="4"/>
      <c r="U680" s="4"/>
      <c r="V680" s="4"/>
      <c r="W680" s="4"/>
      <c r="X680" s="4"/>
      <c r="Y680" s="4"/>
      <c r="Z680" s="4"/>
    </row>
    <row r="681" spans="1:26" ht="15.75" customHeight="1" x14ac:dyDescent="0.2">
      <c r="A681" s="1" t="s">
        <v>1355</v>
      </c>
      <c r="B681" s="1" t="s">
        <v>1356</v>
      </c>
      <c r="C681" s="5" t="str">
        <f ca="1">IFERROR(__xludf.DUMMYFUNCTION("REGEXEXTRACT($B681, $E$2)"),"maryvillecollege")</f>
        <v>maryvillecollege</v>
      </c>
      <c r="E681" s="4"/>
      <c r="F681" s="4"/>
      <c r="G681" s="4"/>
      <c r="H681" s="4"/>
      <c r="I681" s="4"/>
      <c r="J681" s="4"/>
      <c r="K681" s="4"/>
      <c r="L681" s="4"/>
      <c r="M681" s="4"/>
      <c r="N681" s="4"/>
      <c r="O681" s="4"/>
      <c r="P681" s="4"/>
      <c r="Q681" s="4"/>
      <c r="R681" s="4"/>
      <c r="S681" s="4"/>
      <c r="T681" s="4"/>
      <c r="U681" s="4"/>
      <c r="V681" s="4"/>
      <c r="W681" s="4"/>
      <c r="X681" s="4"/>
      <c r="Y681" s="4"/>
      <c r="Z681" s="4"/>
    </row>
    <row r="682" spans="1:26" ht="15.75" customHeight="1" x14ac:dyDescent="0.2">
      <c r="A682" s="1" t="s">
        <v>1357</v>
      </c>
      <c r="B682" s="1" t="s">
        <v>1358</v>
      </c>
      <c r="C682" s="5" t="str">
        <f ca="1">IFERROR(__xludf.DUMMYFUNCTION("REGEXEXTRACT($B682, $E$2)"),"maryville")</f>
        <v>maryville</v>
      </c>
      <c r="E682" s="4"/>
      <c r="F682" s="4"/>
      <c r="G682" s="4"/>
      <c r="H682" s="4"/>
      <c r="I682" s="4"/>
      <c r="J682" s="4"/>
      <c r="K682" s="4"/>
      <c r="L682" s="4"/>
      <c r="M682" s="4"/>
      <c r="N682" s="4"/>
      <c r="O682" s="4"/>
      <c r="P682" s="4"/>
      <c r="Q682" s="4"/>
      <c r="R682" s="4"/>
      <c r="S682" s="4"/>
      <c r="T682" s="4"/>
      <c r="U682" s="4"/>
      <c r="V682" s="4"/>
      <c r="W682" s="4"/>
      <c r="X682" s="4"/>
      <c r="Y682" s="4"/>
      <c r="Z682" s="4"/>
    </row>
    <row r="683" spans="1:26" ht="15.75" customHeight="1" x14ac:dyDescent="0.2">
      <c r="A683" s="1" t="s">
        <v>1359</v>
      </c>
      <c r="B683" s="1" t="s">
        <v>1360</v>
      </c>
      <c r="C683" s="5" t="str">
        <f ca="1">IFERROR(__xludf.DUMMYFUNCTION("REGEXEXTRACT($B683, $E$2)"),"marywood")</f>
        <v>marywood</v>
      </c>
      <c r="E683" s="4"/>
      <c r="F683" s="4"/>
      <c r="G683" s="4"/>
      <c r="H683" s="4"/>
      <c r="I683" s="4"/>
      <c r="J683" s="4"/>
      <c r="K683" s="4"/>
      <c r="L683" s="4"/>
      <c r="M683" s="4"/>
      <c r="N683" s="4"/>
      <c r="O683" s="4"/>
      <c r="P683" s="4"/>
      <c r="Q683" s="4"/>
      <c r="R683" s="4"/>
      <c r="S683" s="4"/>
      <c r="T683" s="4"/>
      <c r="U683" s="4"/>
      <c r="V683" s="4"/>
      <c r="W683" s="4"/>
      <c r="X683" s="4"/>
      <c r="Y683" s="4"/>
      <c r="Z683" s="4"/>
    </row>
    <row r="684" spans="1:26" ht="15.75" customHeight="1" x14ac:dyDescent="0.2">
      <c r="A684" s="1" t="s">
        <v>1361</v>
      </c>
      <c r="B684" s="1" t="s">
        <v>1362</v>
      </c>
      <c r="C684" s="5" t="str">
        <f ca="1">IFERROR(__xludf.DUMMYFUNCTION("REGEXEXTRACT($B684, $E$2)"),"massart")</f>
        <v>massart</v>
      </c>
      <c r="E684" s="4"/>
      <c r="F684" s="4"/>
      <c r="G684" s="4"/>
      <c r="H684" s="4"/>
      <c r="I684" s="4"/>
      <c r="J684" s="4"/>
      <c r="K684" s="4"/>
      <c r="L684" s="4"/>
      <c r="M684" s="4"/>
      <c r="N684" s="4"/>
      <c r="O684" s="4"/>
      <c r="P684" s="4"/>
      <c r="Q684" s="4"/>
      <c r="R684" s="4"/>
      <c r="S684" s="4"/>
      <c r="T684" s="4"/>
      <c r="U684" s="4"/>
      <c r="V684" s="4"/>
      <c r="W684" s="4"/>
      <c r="X684" s="4"/>
      <c r="Y684" s="4"/>
      <c r="Z684" s="4"/>
    </row>
    <row r="685" spans="1:26" ht="15.75" customHeight="1" x14ac:dyDescent="0.2">
      <c r="A685" s="1" t="s">
        <v>1363</v>
      </c>
      <c r="B685" s="1" t="s">
        <v>1364</v>
      </c>
      <c r="C685" s="5" t="str">
        <f ca="1">IFERROR(__xludf.DUMMYFUNCTION("REGEXEXTRACT($B685, $E$2)"),"mcla")</f>
        <v>mcla</v>
      </c>
      <c r="E685" s="4"/>
      <c r="F685" s="4"/>
      <c r="G685" s="4"/>
      <c r="H685" s="4"/>
      <c r="I685" s="4"/>
      <c r="J685" s="4"/>
      <c r="K685" s="4"/>
      <c r="L685" s="4"/>
      <c r="M685" s="4"/>
      <c r="N685" s="4"/>
      <c r="O685" s="4"/>
      <c r="P685" s="4"/>
      <c r="Q685" s="4"/>
      <c r="R685" s="4"/>
      <c r="S685" s="4"/>
      <c r="T685" s="4"/>
      <c r="U685" s="4"/>
      <c r="V685" s="4"/>
      <c r="W685" s="4"/>
      <c r="X685" s="4"/>
      <c r="Y685" s="4"/>
      <c r="Z685" s="4"/>
    </row>
    <row r="686" spans="1:26" ht="15.75" customHeight="1" x14ac:dyDescent="0.2">
      <c r="A686" s="1" t="s">
        <v>1365</v>
      </c>
      <c r="B686" s="1" t="s">
        <v>1366</v>
      </c>
      <c r="C686" s="5" t="str">
        <f ca="1">IFERROR(__xludf.DUMMYFUNCTION("REGEXEXTRACT($B686, $E$2)"),"mcphs")</f>
        <v>mcphs</v>
      </c>
      <c r="E686" s="4"/>
      <c r="F686" s="4"/>
      <c r="G686" s="4"/>
      <c r="H686" s="4"/>
      <c r="I686" s="4"/>
      <c r="J686" s="4"/>
      <c r="K686" s="4"/>
      <c r="L686" s="4"/>
      <c r="M686" s="4"/>
      <c r="N686" s="4"/>
      <c r="O686" s="4"/>
      <c r="P686" s="4"/>
      <c r="Q686" s="4"/>
      <c r="R686" s="4"/>
      <c r="S686" s="4"/>
      <c r="T686" s="4"/>
      <c r="U686" s="4"/>
      <c r="V686" s="4"/>
      <c r="W686" s="4"/>
      <c r="X686" s="4"/>
      <c r="Y686" s="4"/>
      <c r="Z686" s="4"/>
    </row>
    <row r="687" spans="1:26" ht="15.75" customHeight="1" x14ac:dyDescent="0.2">
      <c r="A687" s="1" t="s">
        <v>1367</v>
      </c>
      <c r="B687" s="1" t="s">
        <v>1368</v>
      </c>
      <c r="C687" s="5" t="str">
        <f ca="1">IFERROR(__xludf.DUMMYFUNCTION("REGEXEXTRACT($B687, $E$2)"),"mit")</f>
        <v>mit</v>
      </c>
      <c r="E687" s="4"/>
      <c r="F687" s="4"/>
      <c r="G687" s="4"/>
      <c r="H687" s="4"/>
      <c r="I687" s="4"/>
      <c r="J687" s="4"/>
      <c r="K687" s="4"/>
      <c r="L687" s="4"/>
      <c r="M687" s="4"/>
      <c r="N687" s="4"/>
      <c r="O687" s="4"/>
      <c r="P687" s="4"/>
      <c r="Q687" s="4"/>
      <c r="R687" s="4"/>
      <c r="S687" s="4"/>
      <c r="T687" s="4"/>
      <c r="U687" s="4"/>
      <c r="V687" s="4"/>
      <c r="W687" s="4"/>
      <c r="X687" s="4"/>
      <c r="Y687" s="4"/>
      <c r="Z687" s="4"/>
    </row>
    <row r="688" spans="1:26" ht="15.75" customHeight="1" x14ac:dyDescent="0.2">
      <c r="A688" s="1" t="s">
        <v>1369</v>
      </c>
      <c r="B688" s="1" t="s">
        <v>1370</v>
      </c>
      <c r="C688" s="5" t="str">
        <f ca="1">IFERROR(__xludf.DUMMYFUNCTION("REGEXEXTRACT($B688, $E$2)"),"maritime")</f>
        <v>maritime</v>
      </c>
      <c r="E688" s="4"/>
      <c r="F688" s="4"/>
      <c r="G688" s="4"/>
      <c r="H688" s="4"/>
      <c r="I688" s="4"/>
      <c r="J688" s="4"/>
      <c r="K688" s="4"/>
      <c r="L688" s="4"/>
      <c r="M688" s="4"/>
      <c r="N688" s="4"/>
      <c r="O688" s="4"/>
      <c r="P688" s="4"/>
      <c r="Q688" s="4"/>
      <c r="R688" s="4"/>
      <c r="S688" s="4"/>
      <c r="T688" s="4"/>
      <c r="U688" s="4"/>
      <c r="V688" s="4"/>
      <c r="W688" s="4"/>
      <c r="X688" s="4"/>
      <c r="Y688" s="4"/>
      <c r="Z688" s="4"/>
    </row>
    <row r="689" spans="1:26" ht="15.75" customHeight="1" x14ac:dyDescent="0.2">
      <c r="A689" s="1" t="s">
        <v>1371</v>
      </c>
      <c r="B689" s="1" t="s">
        <v>1372</v>
      </c>
      <c r="C689" s="5" t="str">
        <f ca="1">IFERROR(__xludf.DUMMYFUNCTION("REGEXEXTRACT($B689, $E$2)"),"mayvillestate")</f>
        <v>mayvillestate</v>
      </c>
      <c r="E689" s="4"/>
      <c r="F689" s="4"/>
      <c r="G689" s="4"/>
      <c r="H689" s="4"/>
      <c r="I689" s="4"/>
      <c r="J689" s="4"/>
      <c r="K689" s="4"/>
      <c r="L689" s="4"/>
      <c r="M689" s="4"/>
      <c r="N689" s="4"/>
      <c r="O689" s="4"/>
      <c r="P689" s="4"/>
      <c r="Q689" s="4"/>
      <c r="R689" s="4"/>
      <c r="S689" s="4"/>
      <c r="T689" s="4"/>
      <c r="U689" s="4"/>
      <c r="V689" s="4"/>
      <c r="W689" s="4"/>
      <c r="X689" s="4"/>
      <c r="Y689" s="4"/>
      <c r="Z689" s="4"/>
    </row>
    <row r="690" spans="1:26" ht="15.75" customHeight="1" x14ac:dyDescent="0.2">
      <c r="A690" s="1" t="s">
        <v>1373</v>
      </c>
      <c r="B690" s="1" t="s">
        <v>1374</v>
      </c>
      <c r="C690" s="5" t="str">
        <f ca="1">IFERROR(__xludf.DUMMYFUNCTION("REGEXEXTRACT($B690, $E$2)"),"mcdaniel")</f>
        <v>mcdaniel</v>
      </c>
      <c r="E690" s="4"/>
      <c r="F690" s="4"/>
      <c r="G690" s="4"/>
      <c r="H690" s="4"/>
      <c r="I690" s="4"/>
      <c r="J690" s="4"/>
      <c r="K690" s="4"/>
      <c r="L690" s="4"/>
      <c r="M690" s="4"/>
      <c r="N690" s="4"/>
      <c r="O690" s="4"/>
      <c r="P690" s="4"/>
      <c r="Q690" s="4"/>
      <c r="R690" s="4"/>
      <c r="S690" s="4"/>
      <c r="T690" s="4"/>
      <c r="U690" s="4"/>
      <c r="V690" s="4"/>
      <c r="W690" s="4"/>
      <c r="X690" s="4"/>
      <c r="Y690" s="4"/>
      <c r="Z690" s="4"/>
    </row>
    <row r="691" spans="1:26" ht="15.75" customHeight="1" x14ac:dyDescent="0.2">
      <c r="A691" s="1" t="s">
        <v>1375</v>
      </c>
      <c r="B691" s="1" t="s">
        <v>1376</v>
      </c>
      <c r="C691" s="5" t="str">
        <f ca="1">IFERROR(__xludf.DUMMYFUNCTION("REGEXEXTRACT($B691, $E$2)"),"mckendree")</f>
        <v>mckendree</v>
      </c>
      <c r="E691" s="4"/>
      <c r="F691" s="4"/>
      <c r="G691" s="4"/>
      <c r="H691" s="4"/>
      <c r="I691" s="4"/>
      <c r="J691" s="4"/>
      <c r="K691" s="4"/>
      <c r="L691" s="4"/>
      <c r="M691" s="4"/>
      <c r="N691" s="4"/>
      <c r="O691" s="4"/>
      <c r="P691" s="4"/>
      <c r="Q691" s="4"/>
      <c r="R691" s="4"/>
      <c r="S691" s="4"/>
      <c r="T691" s="4"/>
      <c r="U691" s="4"/>
      <c r="V691" s="4"/>
      <c r="W691" s="4"/>
      <c r="X691" s="4"/>
      <c r="Y691" s="4"/>
      <c r="Z691" s="4"/>
    </row>
    <row r="692" spans="1:26" ht="15.75" customHeight="1" x14ac:dyDescent="0.2">
      <c r="A692" s="1" t="s">
        <v>1377</v>
      </c>
      <c r="B692" s="1" t="s">
        <v>1378</v>
      </c>
      <c r="C692" s="5" t="str">
        <f ca="1">IFERROR(__xludf.DUMMYFUNCTION("REGEXEXTRACT($B692, $E$2)"),"mcm")</f>
        <v>mcm</v>
      </c>
      <c r="E692" s="4"/>
      <c r="F692" s="4"/>
      <c r="G692" s="4"/>
      <c r="H692" s="4"/>
      <c r="I692" s="4"/>
      <c r="J692" s="4"/>
      <c r="K692" s="4"/>
      <c r="L692" s="4"/>
      <c r="M692" s="4"/>
      <c r="N692" s="4"/>
      <c r="O692" s="4"/>
      <c r="P692" s="4"/>
      <c r="Q692" s="4"/>
      <c r="R692" s="4"/>
      <c r="S692" s="4"/>
      <c r="T692" s="4"/>
      <c r="U692" s="4"/>
      <c r="V692" s="4"/>
      <c r="W692" s="4"/>
      <c r="X692" s="4"/>
      <c r="Y692" s="4"/>
      <c r="Z692" s="4"/>
    </row>
    <row r="693" spans="1:26" ht="15.75" customHeight="1" x14ac:dyDescent="0.2">
      <c r="A693" s="1" t="s">
        <v>1379</v>
      </c>
      <c r="B693" s="1" t="s">
        <v>1380</v>
      </c>
      <c r="C693" s="5" t="str">
        <f ca="1">IFERROR(__xludf.DUMMYFUNCTION("REGEXEXTRACT($B693, $E$2)"),"mcneese")</f>
        <v>mcneese</v>
      </c>
      <c r="E693" s="4"/>
      <c r="F693" s="4"/>
      <c r="G693" s="4"/>
      <c r="H693" s="4"/>
      <c r="I693" s="4"/>
      <c r="J693" s="4"/>
      <c r="K693" s="4"/>
      <c r="L693" s="4"/>
      <c r="M693" s="4"/>
      <c r="N693" s="4"/>
      <c r="O693" s="4"/>
      <c r="P693" s="4"/>
      <c r="Q693" s="4"/>
      <c r="R693" s="4"/>
      <c r="S693" s="4"/>
      <c r="T693" s="4"/>
      <c r="U693" s="4"/>
      <c r="V693" s="4"/>
      <c r="W693" s="4"/>
      <c r="X693" s="4"/>
      <c r="Y693" s="4"/>
      <c r="Z693" s="4"/>
    </row>
    <row r="694" spans="1:26" ht="15.75" customHeight="1" x14ac:dyDescent="0.2">
      <c r="A694" s="1" t="s">
        <v>1381</v>
      </c>
      <c r="B694" s="1" t="s">
        <v>1382</v>
      </c>
      <c r="C694" s="5" t="str">
        <f ca="1">IFERROR(__xludf.DUMMYFUNCTION("REGEXEXTRACT($B694, $E$2)"),"mcpherson")</f>
        <v>mcpherson</v>
      </c>
      <c r="E694" s="4"/>
      <c r="F694" s="4"/>
      <c r="G694" s="4"/>
      <c r="H694" s="4"/>
      <c r="I694" s="4"/>
      <c r="J694" s="4"/>
      <c r="K694" s="4"/>
      <c r="L694" s="4"/>
      <c r="M694" s="4"/>
      <c r="N694" s="4"/>
      <c r="O694" s="4"/>
      <c r="P694" s="4"/>
      <c r="Q694" s="4"/>
      <c r="R694" s="4"/>
      <c r="S694" s="4"/>
      <c r="T694" s="4"/>
      <c r="U694" s="4"/>
      <c r="V694" s="4"/>
      <c r="W694" s="4"/>
      <c r="X694" s="4"/>
      <c r="Y694" s="4"/>
      <c r="Z694" s="4"/>
    </row>
    <row r="695" spans="1:26" ht="15.75" customHeight="1" x14ac:dyDescent="0.2">
      <c r="A695" s="1" t="s">
        <v>1383</v>
      </c>
      <c r="B695" s="1" t="s">
        <v>1384</v>
      </c>
      <c r="C695" s="5" t="str">
        <f ca="1">IFERROR(__xludf.DUMMYFUNCTION("REGEXEXTRACT($B695, $E$2)"),"medaille")</f>
        <v>medaille</v>
      </c>
      <c r="E695" s="4"/>
      <c r="F695" s="4"/>
      <c r="G695" s="4"/>
      <c r="H695" s="4"/>
      <c r="I695" s="4"/>
      <c r="J695" s="4"/>
      <c r="K695" s="4"/>
      <c r="L695" s="4"/>
      <c r="M695" s="4"/>
      <c r="N695" s="4"/>
      <c r="O695" s="4"/>
      <c r="P695" s="4"/>
      <c r="Q695" s="4"/>
      <c r="R695" s="4"/>
      <c r="S695" s="4"/>
      <c r="T695" s="4"/>
      <c r="U695" s="4"/>
      <c r="V695" s="4"/>
      <c r="W695" s="4"/>
      <c r="X695" s="4"/>
      <c r="Y695" s="4"/>
      <c r="Z695" s="4"/>
    </row>
    <row r="696" spans="1:26" ht="15.75" customHeight="1" x14ac:dyDescent="0.2">
      <c r="A696" s="1" t="s">
        <v>1385</v>
      </c>
      <c r="B696" s="1" t="s">
        <v>1386</v>
      </c>
      <c r="C696" s="5" t="str">
        <f ca="1">IFERROR(__xludf.DUMMYFUNCTION("REGEXEXTRACT($B696, $E$2)"),"musc")</f>
        <v>musc</v>
      </c>
      <c r="E696" s="4"/>
      <c r="F696" s="4"/>
      <c r="G696" s="4"/>
      <c r="H696" s="4"/>
      <c r="I696" s="4"/>
      <c r="J696" s="4"/>
      <c r="K696" s="4"/>
      <c r="L696" s="4"/>
      <c r="M696" s="4"/>
      <c r="N696" s="4"/>
      <c r="O696" s="4"/>
      <c r="P696" s="4"/>
      <c r="Q696" s="4"/>
      <c r="R696" s="4"/>
      <c r="S696" s="4"/>
      <c r="T696" s="4"/>
      <c r="U696" s="4"/>
      <c r="V696" s="4"/>
      <c r="W696" s="4"/>
      <c r="X696" s="4"/>
      <c r="Y696" s="4"/>
      <c r="Z696" s="4"/>
    </row>
    <row r="697" spans="1:26" ht="15.75" customHeight="1" x14ac:dyDescent="0.2">
      <c r="A697" s="1" t="s">
        <v>1387</v>
      </c>
      <c r="B697" s="1" t="s">
        <v>1388</v>
      </c>
      <c r="C697" s="5" t="str">
        <f ca="1">IFERROR(__xludf.DUMMYFUNCTION("REGEXEXTRACT($B697, $E$2)"),"mca")</f>
        <v>mca</v>
      </c>
      <c r="E697" s="4"/>
      <c r="F697" s="4"/>
      <c r="G697" s="4"/>
      <c r="H697" s="4"/>
      <c r="I697" s="4"/>
      <c r="J697" s="4"/>
      <c r="K697" s="4"/>
      <c r="L697" s="4"/>
      <c r="M697" s="4"/>
      <c r="N697" s="4"/>
      <c r="O697" s="4"/>
      <c r="P697" s="4"/>
      <c r="Q697" s="4"/>
      <c r="R697" s="4"/>
      <c r="S697" s="4"/>
      <c r="T697" s="4"/>
      <c r="U697" s="4"/>
      <c r="V697" s="4"/>
      <c r="W697" s="4"/>
      <c r="X697" s="4"/>
      <c r="Y697" s="4"/>
      <c r="Z697" s="4"/>
    </row>
    <row r="698" spans="1:26" ht="15.75" customHeight="1" x14ac:dyDescent="0.2">
      <c r="A698" s="1" t="s">
        <v>1389</v>
      </c>
      <c r="B698" s="1" t="s">
        <v>1390</v>
      </c>
      <c r="C698" s="5" t="str">
        <f ca="1">IFERROR(__xludf.DUMMYFUNCTION("REGEXEXTRACT($B698, $E$2)"),"menlo")</f>
        <v>menlo</v>
      </c>
      <c r="E698" s="4"/>
      <c r="F698" s="4"/>
      <c r="G698" s="4"/>
      <c r="H698" s="4"/>
      <c r="I698" s="4"/>
      <c r="J698" s="4"/>
      <c r="K698" s="4"/>
      <c r="L698" s="4"/>
      <c r="M698" s="4"/>
      <c r="N698" s="4"/>
      <c r="O698" s="4"/>
      <c r="P698" s="4"/>
      <c r="Q698" s="4"/>
      <c r="R698" s="4"/>
      <c r="S698" s="4"/>
      <c r="T698" s="4"/>
      <c r="U698" s="4"/>
      <c r="V698" s="4"/>
      <c r="W698" s="4"/>
      <c r="X698" s="4"/>
      <c r="Y698" s="4"/>
      <c r="Z698" s="4"/>
    </row>
    <row r="699" spans="1:26" ht="15.75" customHeight="1" x14ac:dyDescent="0.2">
      <c r="A699" s="1" t="s">
        <v>1391</v>
      </c>
      <c r="B699" s="1" t="s">
        <v>1392</v>
      </c>
      <c r="C699" s="5" t="str">
        <f ca="1">IFERROR(__xludf.DUMMYFUNCTION("REGEXEXTRACT($B699, $E$2)"),"mercer")</f>
        <v>mercer</v>
      </c>
      <c r="E699" s="4"/>
      <c r="F699" s="4"/>
      <c r="G699" s="4"/>
      <c r="H699" s="4"/>
      <c r="I699" s="4"/>
      <c r="J699" s="4"/>
      <c r="K699" s="4"/>
      <c r="L699" s="4"/>
      <c r="M699" s="4"/>
      <c r="N699" s="4"/>
      <c r="O699" s="4"/>
      <c r="P699" s="4"/>
      <c r="Q699" s="4"/>
      <c r="R699" s="4"/>
      <c r="S699" s="4"/>
      <c r="T699" s="4"/>
      <c r="U699" s="4"/>
      <c r="V699" s="4"/>
      <c r="W699" s="4"/>
      <c r="X699" s="4"/>
      <c r="Y699" s="4"/>
      <c r="Z699" s="4"/>
    </row>
    <row r="700" spans="1:26" ht="15.75" customHeight="1" x14ac:dyDescent="0.2">
      <c r="A700" s="1" t="s">
        <v>1393</v>
      </c>
      <c r="B700" s="1" t="s">
        <v>1394</v>
      </c>
      <c r="C700" s="5" t="str">
        <f ca="1">IFERROR(__xludf.DUMMYFUNCTION("REGEXEXTRACT($B700, $E$2)"),"mercy")</f>
        <v>mercy</v>
      </c>
      <c r="E700" s="4"/>
      <c r="F700" s="4"/>
      <c r="G700" s="4"/>
      <c r="H700" s="4"/>
      <c r="I700" s="4"/>
      <c r="J700" s="4"/>
      <c r="K700" s="4"/>
      <c r="L700" s="4"/>
      <c r="M700" s="4"/>
      <c r="N700" s="4"/>
      <c r="O700" s="4"/>
      <c r="P700" s="4"/>
      <c r="Q700" s="4"/>
      <c r="R700" s="4"/>
      <c r="S700" s="4"/>
      <c r="T700" s="4"/>
      <c r="U700" s="4"/>
      <c r="V700" s="4"/>
      <c r="W700" s="4"/>
      <c r="X700" s="4"/>
      <c r="Y700" s="4"/>
      <c r="Z700" s="4"/>
    </row>
    <row r="701" spans="1:26" ht="15.75" customHeight="1" x14ac:dyDescent="0.2">
      <c r="A701" s="1" t="s">
        <v>1395</v>
      </c>
      <c r="B701" s="1" t="s">
        <v>1396</v>
      </c>
      <c r="C701" s="5" t="str">
        <f ca="1">IFERROR(__xludf.DUMMYFUNCTION("REGEXEXTRACT($B701, $E$2)"),"mchs")</f>
        <v>mchs</v>
      </c>
      <c r="E701" s="4"/>
      <c r="F701" s="4"/>
      <c r="G701" s="4"/>
      <c r="H701" s="4"/>
      <c r="I701" s="4"/>
      <c r="J701" s="4"/>
      <c r="K701" s="4"/>
      <c r="L701" s="4"/>
      <c r="M701" s="4"/>
      <c r="N701" s="4"/>
      <c r="O701" s="4"/>
      <c r="P701" s="4"/>
      <c r="Q701" s="4"/>
      <c r="R701" s="4"/>
      <c r="S701" s="4"/>
      <c r="T701" s="4"/>
      <c r="U701" s="4"/>
      <c r="V701" s="4"/>
      <c r="W701" s="4"/>
      <c r="X701" s="4"/>
      <c r="Y701" s="4"/>
      <c r="Z701" s="4"/>
    </row>
    <row r="702" spans="1:26" ht="15.75" customHeight="1" x14ac:dyDescent="0.2">
      <c r="A702" s="1" t="s">
        <v>1397</v>
      </c>
      <c r="B702" s="1" t="s">
        <v>1398</v>
      </c>
      <c r="C702" s="5" t="str">
        <f ca="1">IFERROR(__xludf.DUMMYFUNCTION("REGEXEXTRACT($B702, $E$2)"),"mercyhurst")</f>
        <v>mercyhurst</v>
      </c>
      <c r="E702" s="4"/>
      <c r="F702" s="4"/>
      <c r="G702" s="4"/>
      <c r="H702" s="4"/>
      <c r="I702" s="4"/>
      <c r="J702" s="4"/>
      <c r="K702" s="4"/>
      <c r="L702" s="4"/>
      <c r="M702" s="4"/>
      <c r="N702" s="4"/>
      <c r="O702" s="4"/>
      <c r="P702" s="4"/>
      <c r="Q702" s="4"/>
      <c r="R702" s="4"/>
      <c r="S702" s="4"/>
      <c r="T702" s="4"/>
      <c r="U702" s="4"/>
      <c r="V702" s="4"/>
      <c r="W702" s="4"/>
      <c r="X702" s="4"/>
      <c r="Y702" s="4"/>
      <c r="Z702" s="4"/>
    </row>
    <row r="703" spans="1:26" ht="15.75" customHeight="1" x14ac:dyDescent="0.2">
      <c r="A703" s="1" t="s">
        <v>1399</v>
      </c>
      <c r="B703" s="1" t="s">
        <v>1400</v>
      </c>
      <c r="C703" s="5" t="str">
        <f ca="1">IFERROR(__xludf.DUMMYFUNCTION("REGEXEXTRACT($B703, $E$2)"),"meredith")</f>
        <v>meredith</v>
      </c>
      <c r="E703" s="4"/>
      <c r="F703" s="4"/>
      <c r="G703" s="4"/>
      <c r="H703" s="4"/>
      <c r="I703" s="4"/>
      <c r="J703" s="4"/>
      <c r="K703" s="4"/>
      <c r="L703" s="4"/>
      <c r="M703" s="4"/>
      <c r="N703" s="4"/>
      <c r="O703" s="4"/>
      <c r="P703" s="4"/>
      <c r="Q703" s="4"/>
      <c r="R703" s="4"/>
      <c r="S703" s="4"/>
      <c r="T703" s="4"/>
      <c r="U703" s="4"/>
      <c r="V703" s="4"/>
      <c r="W703" s="4"/>
      <c r="X703" s="4"/>
      <c r="Y703" s="4"/>
      <c r="Z703" s="4"/>
    </row>
    <row r="704" spans="1:26" ht="15.75" customHeight="1" x14ac:dyDescent="0.2">
      <c r="A704" s="1" t="s">
        <v>1401</v>
      </c>
      <c r="B704" s="1" t="s">
        <v>1402</v>
      </c>
      <c r="C704" s="5" t="str">
        <f ca="1">IFERROR(__xludf.DUMMYFUNCTION("REGEXEXTRACT($B704, $E$2)"),"merrimack")</f>
        <v>merrimack</v>
      </c>
      <c r="E704" s="4"/>
      <c r="F704" s="4"/>
      <c r="G704" s="4"/>
      <c r="H704" s="4"/>
      <c r="I704" s="4"/>
      <c r="J704" s="4"/>
      <c r="K704" s="4"/>
      <c r="L704" s="4"/>
      <c r="M704" s="4"/>
      <c r="N704" s="4"/>
      <c r="O704" s="4"/>
      <c r="P704" s="4"/>
      <c r="Q704" s="4"/>
      <c r="R704" s="4"/>
      <c r="S704" s="4"/>
      <c r="T704" s="4"/>
      <c r="U704" s="4"/>
      <c r="V704" s="4"/>
      <c r="W704" s="4"/>
      <c r="X704" s="4"/>
      <c r="Y704" s="4"/>
      <c r="Z704" s="4"/>
    </row>
    <row r="705" spans="1:26" ht="15.75" customHeight="1" x14ac:dyDescent="0.2">
      <c r="A705" s="1" t="s">
        <v>1403</v>
      </c>
      <c r="B705" s="1" t="s">
        <v>1404</v>
      </c>
      <c r="C705" s="5" t="str">
        <f ca="1">IFERROR(__xludf.DUMMYFUNCTION("REGEXEXTRACT($B705, $E$2)"),"messiah")</f>
        <v>messiah</v>
      </c>
      <c r="E705" s="4"/>
      <c r="F705" s="4"/>
      <c r="G705" s="4"/>
      <c r="H705" s="4"/>
      <c r="I705" s="4"/>
      <c r="J705" s="4"/>
      <c r="K705" s="4"/>
      <c r="L705" s="4"/>
      <c r="M705" s="4"/>
      <c r="N705" s="4"/>
      <c r="O705" s="4"/>
      <c r="P705" s="4"/>
      <c r="Q705" s="4"/>
      <c r="R705" s="4"/>
      <c r="S705" s="4"/>
      <c r="T705" s="4"/>
      <c r="U705" s="4"/>
      <c r="V705" s="4"/>
      <c r="W705" s="4"/>
      <c r="X705" s="4"/>
      <c r="Y705" s="4"/>
      <c r="Z705" s="4"/>
    </row>
    <row r="706" spans="1:26" ht="15.75" customHeight="1" x14ac:dyDescent="0.2">
      <c r="A706" s="1" t="s">
        <v>1405</v>
      </c>
      <c r="B706" s="1" t="s">
        <v>1406</v>
      </c>
      <c r="C706" s="5" t="str">
        <f ca="1">IFERROR(__xludf.DUMMYFUNCTION("REGEXEXTRACT($B706, $E$2)"),"methodist")</f>
        <v>methodist</v>
      </c>
      <c r="E706" s="4"/>
      <c r="F706" s="4"/>
      <c r="G706" s="4"/>
      <c r="H706" s="4"/>
      <c r="I706" s="4"/>
      <c r="J706" s="4"/>
      <c r="K706" s="4"/>
      <c r="L706" s="4"/>
      <c r="M706" s="4"/>
      <c r="N706" s="4"/>
      <c r="O706" s="4"/>
      <c r="P706" s="4"/>
      <c r="Q706" s="4"/>
      <c r="R706" s="4"/>
      <c r="S706" s="4"/>
      <c r="T706" s="4"/>
      <c r="U706" s="4"/>
      <c r="V706" s="4"/>
      <c r="W706" s="4"/>
      <c r="X706" s="4"/>
      <c r="Y706" s="4"/>
      <c r="Z706" s="4"/>
    </row>
    <row r="707" spans="1:26" ht="15.75" customHeight="1" x14ac:dyDescent="0.2">
      <c r="A707" s="1" t="s">
        <v>1407</v>
      </c>
      <c r="B707" s="1" t="s">
        <v>1408</v>
      </c>
      <c r="C707" s="5" t="str">
        <f ca="1">IFERROR(__xludf.DUMMYFUNCTION("REGEXEXTRACT($B707, $E$2)"),"mcny")</f>
        <v>mcny</v>
      </c>
      <c r="E707" s="4"/>
      <c r="F707" s="4"/>
      <c r="G707" s="4"/>
      <c r="H707" s="4"/>
      <c r="I707" s="4"/>
      <c r="J707" s="4"/>
      <c r="K707" s="4"/>
      <c r="L707" s="4"/>
      <c r="M707" s="4"/>
      <c r="N707" s="4"/>
      <c r="O707" s="4"/>
      <c r="P707" s="4"/>
      <c r="Q707" s="4"/>
      <c r="R707" s="4"/>
      <c r="S707" s="4"/>
      <c r="T707" s="4"/>
      <c r="U707" s="4"/>
      <c r="V707" s="4"/>
      <c r="W707" s="4"/>
      <c r="X707" s="4"/>
      <c r="Y707" s="4"/>
      <c r="Z707" s="4"/>
    </row>
    <row r="708" spans="1:26" ht="15.75" customHeight="1" x14ac:dyDescent="0.2">
      <c r="A708" s="1" t="s">
        <v>1409</v>
      </c>
      <c r="B708" s="1" t="s">
        <v>1410</v>
      </c>
      <c r="C708" s="5" t="str">
        <f ca="1">IFERROR(__xludf.DUMMYFUNCTION("REGEXEXTRACT($B708, $E$2)"),"metrostate")</f>
        <v>metrostate</v>
      </c>
      <c r="E708" s="4"/>
      <c r="F708" s="4"/>
      <c r="G708" s="4"/>
      <c r="H708" s="4"/>
      <c r="I708" s="4"/>
      <c r="J708" s="4"/>
      <c r="K708" s="4"/>
      <c r="L708" s="4"/>
      <c r="M708" s="4"/>
      <c r="N708" s="4"/>
      <c r="O708" s="4"/>
      <c r="P708" s="4"/>
      <c r="Q708" s="4"/>
      <c r="R708" s="4"/>
      <c r="S708" s="4"/>
      <c r="T708" s="4"/>
      <c r="U708" s="4"/>
      <c r="V708" s="4"/>
      <c r="W708" s="4"/>
      <c r="X708" s="4"/>
      <c r="Y708" s="4"/>
      <c r="Z708" s="4"/>
    </row>
    <row r="709" spans="1:26" ht="15.75" customHeight="1" x14ac:dyDescent="0.2">
      <c r="A709" s="1" t="s">
        <v>1411</v>
      </c>
      <c r="B709" s="1" t="s">
        <v>1412</v>
      </c>
      <c r="C709" s="5" t="str">
        <f ca="1">IFERROR(__xludf.DUMMYFUNCTION("REGEXEXTRACT($B709, $E$2)"),"msudenver")</f>
        <v>msudenver</v>
      </c>
      <c r="E709" s="4"/>
      <c r="F709" s="4"/>
      <c r="G709" s="4"/>
      <c r="H709" s="4"/>
      <c r="I709" s="4"/>
      <c r="J709" s="4"/>
      <c r="K709" s="4"/>
      <c r="L709" s="4"/>
      <c r="M709" s="4"/>
      <c r="N709" s="4"/>
      <c r="O709" s="4"/>
      <c r="P709" s="4"/>
      <c r="Q709" s="4"/>
      <c r="R709" s="4"/>
      <c r="S709" s="4"/>
      <c r="T709" s="4"/>
      <c r="U709" s="4"/>
      <c r="V709" s="4"/>
      <c r="W709" s="4"/>
      <c r="X709" s="4"/>
      <c r="Y709" s="4"/>
      <c r="Z709" s="4"/>
    </row>
    <row r="710" spans="1:26" ht="15.75" customHeight="1" x14ac:dyDescent="0.2">
      <c r="A710" s="1" t="s">
        <v>1413</v>
      </c>
      <c r="B710" s="1" t="s">
        <v>1414</v>
      </c>
      <c r="C710" s="5" t="str">
        <f ca="1">IFERROR(__xludf.DUMMYFUNCTION("REGEXEXTRACT($B710, $E$2)"),"miamioh")</f>
        <v>miamioh</v>
      </c>
      <c r="E710" s="4"/>
      <c r="F710" s="4"/>
      <c r="G710" s="4"/>
      <c r="H710" s="4"/>
      <c r="I710" s="4"/>
      <c r="J710" s="4"/>
      <c r="K710" s="4"/>
      <c r="L710" s="4"/>
      <c r="M710" s="4"/>
      <c r="N710" s="4"/>
      <c r="O710" s="4"/>
      <c r="P710" s="4"/>
      <c r="Q710" s="4"/>
      <c r="R710" s="4"/>
      <c r="S710" s="4"/>
      <c r="T710" s="4"/>
      <c r="U710" s="4"/>
      <c r="V710" s="4"/>
      <c r="W710" s="4"/>
      <c r="X710" s="4"/>
      <c r="Y710" s="4"/>
      <c r="Z710" s="4"/>
    </row>
    <row r="711" spans="1:26" ht="15.75" customHeight="1" x14ac:dyDescent="0.2">
      <c r="A711" s="1" t="s">
        <v>1415</v>
      </c>
      <c r="B711" s="1" t="s">
        <v>1416</v>
      </c>
      <c r="C711" s="5" t="str">
        <f ca="1">IFERROR(__xludf.DUMMYFUNCTION("REGEXEXTRACT($B711, $E$2)"),"msu")</f>
        <v>msu</v>
      </c>
      <c r="E711" s="4"/>
      <c r="F711" s="4"/>
      <c r="G711" s="4"/>
      <c r="H711" s="4"/>
      <c r="I711" s="4"/>
      <c r="J711" s="4"/>
      <c r="K711" s="4"/>
      <c r="L711" s="4"/>
      <c r="M711" s="4"/>
      <c r="N711" s="4"/>
      <c r="O711" s="4"/>
      <c r="P711" s="4"/>
      <c r="Q711" s="4"/>
      <c r="R711" s="4"/>
      <c r="S711" s="4"/>
      <c r="T711" s="4"/>
      <c r="U711" s="4"/>
      <c r="V711" s="4"/>
      <c r="W711" s="4"/>
      <c r="X711" s="4"/>
      <c r="Y711" s="4"/>
      <c r="Z711" s="4"/>
    </row>
    <row r="712" spans="1:26" ht="15.75" customHeight="1" x14ac:dyDescent="0.2">
      <c r="A712" s="1" t="s">
        <v>1417</v>
      </c>
      <c r="B712" s="1" t="s">
        <v>1418</v>
      </c>
      <c r="C712" s="5" t="str">
        <f ca="1">IFERROR(__xludf.DUMMYFUNCTION("REGEXEXTRACT($B712, $E$2)"),"mtu")</f>
        <v>mtu</v>
      </c>
      <c r="E712" s="4"/>
      <c r="F712" s="4"/>
      <c r="G712" s="4"/>
      <c r="H712" s="4"/>
      <c r="I712" s="4"/>
      <c r="J712" s="4"/>
      <c r="K712" s="4"/>
      <c r="L712" s="4"/>
      <c r="M712" s="4"/>
      <c r="N712" s="4"/>
      <c r="O712" s="4"/>
      <c r="P712" s="4"/>
      <c r="Q712" s="4"/>
      <c r="R712" s="4"/>
      <c r="S712" s="4"/>
      <c r="T712" s="4"/>
      <c r="U712" s="4"/>
      <c r="V712" s="4"/>
      <c r="W712" s="4"/>
      <c r="X712" s="4"/>
      <c r="Y712" s="4"/>
      <c r="Z712" s="4"/>
    </row>
    <row r="713" spans="1:26" ht="15.75" customHeight="1" x14ac:dyDescent="0.2">
      <c r="A713" s="1" t="s">
        <v>1419</v>
      </c>
      <c r="B713" s="1" t="s">
        <v>1420</v>
      </c>
      <c r="C713" s="5" t="str">
        <f ca="1">IFERROR(__xludf.DUMMYFUNCTION("REGEXEXTRACT($B713, $E$2)"),"macu")</f>
        <v>macu</v>
      </c>
      <c r="E713" s="4"/>
      <c r="F713" s="4"/>
      <c r="G713" s="4"/>
      <c r="H713" s="4"/>
      <c r="I713" s="4"/>
      <c r="J713" s="4"/>
      <c r="K713" s="4"/>
      <c r="L713" s="4"/>
      <c r="M713" s="4"/>
      <c r="N713" s="4"/>
      <c r="O713" s="4"/>
      <c r="P713" s="4"/>
      <c r="Q713" s="4"/>
      <c r="R713" s="4"/>
      <c r="S713" s="4"/>
      <c r="T713" s="4"/>
      <c r="U713" s="4"/>
      <c r="V713" s="4"/>
      <c r="W713" s="4"/>
      <c r="X713" s="4"/>
      <c r="Y713" s="4"/>
      <c r="Z713" s="4"/>
    </row>
    <row r="714" spans="1:26" ht="15.75" customHeight="1" x14ac:dyDescent="0.2">
      <c r="A714" s="1" t="s">
        <v>1421</v>
      </c>
      <c r="B714" s="1" t="s">
        <v>1422</v>
      </c>
      <c r="C714" s="5" t="str">
        <f ca="1">IFERROR(__xludf.DUMMYFUNCTION("REGEXEXTRACT($B714, $E$2)"),"macuniversity")</f>
        <v>macuniversity</v>
      </c>
      <c r="E714" s="4"/>
      <c r="F714" s="4"/>
      <c r="G714" s="4"/>
      <c r="H714" s="4"/>
      <c r="I714" s="4"/>
      <c r="J714" s="4"/>
      <c r="K714" s="4"/>
      <c r="L714" s="4"/>
      <c r="M714" s="4"/>
      <c r="N714" s="4"/>
      <c r="O714" s="4"/>
      <c r="P714" s="4"/>
      <c r="Q714" s="4"/>
      <c r="R714" s="4"/>
      <c r="S714" s="4"/>
      <c r="T714" s="4"/>
      <c r="U714" s="4"/>
      <c r="V714" s="4"/>
      <c r="W714" s="4"/>
      <c r="X714" s="4"/>
      <c r="Y714" s="4"/>
      <c r="Z714" s="4"/>
    </row>
    <row r="715" spans="1:26" ht="15.75" customHeight="1" x14ac:dyDescent="0.2">
      <c r="A715" s="1" t="s">
        <v>1423</v>
      </c>
      <c r="B715" s="1" t="s">
        <v>1424</v>
      </c>
      <c r="C715" s="5" t="str">
        <f ca="1">IFERROR(__xludf.DUMMYFUNCTION("REGEXEXTRACT($B715, $E$2)"),"mnu")</f>
        <v>mnu</v>
      </c>
      <c r="E715" s="4"/>
      <c r="F715" s="4"/>
      <c r="G715" s="4"/>
      <c r="H715" s="4"/>
      <c r="I715" s="4"/>
      <c r="J715" s="4"/>
      <c r="K715" s="4"/>
      <c r="L715" s="4"/>
      <c r="M715" s="4"/>
      <c r="N715" s="4"/>
      <c r="O715" s="4"/>
      <c r="P715" s="4"/>
      <c r="Q715" s="4"/>
      <c r="R715" s="4"/>
      <c r="S715" s="4"/>
      <c r="T715" s="4"/>
      <c r="U715" s="4"/>
      <c r="V715" s="4"/>
      <c r="W715" s="4"/>
      <c r="X715" s="4"/>
      <c r="Y715" s="4"/>
      <c r="Z715" s="4"/>
    </row>
    <row r="716" spans="1:26" ht="15.75" customHeight="1" x14ac:dyDescent="0.2">
      <c r="A716" s="1" t="s">
        <v>1425</v>
      </c>
      <c r="B716" s="1" t="s">
        <v>1426</v>
      </c>
      <c r="C716" s="5" t="str">
        <f ca="1">IFERROR(__xludf.DUMMYFUNCTION("REGEXEXTRACT($B716, $E$2)"),"mga")</f>
        <v>mga</v>
      </c>
      <c r="E716" s="4"/>
      <c r="F716" s="4"/>
      <c r="G716" s="4"/>
      <c r="H716" s="4"/>
      <c r="I716" s="4"/>
      <c r="J716" s="4"/>
      <c r="K716" s="4"/>
      <c r="L716" s="4"/>
      <c r="M716" s="4"/>
      <c r="N716" s="4"/>
      <c r="O716" s="4"/>
      <c r="P716" s="4"/>
      <c r="Q716" s="4"/>
      <c r="R716" s="4"/>
      <c r="S716" s="4"/>
      <c r="T716" s="4"/>
      <c r="U716" s="4"/>
      <c r="V716" s="4"/>
      <c r="W716" s="4"/>
      <c r="X716" s="4"/>
      <c r="Y716" s="4"/>
      <c r="Z716" s="4"/>
    </row>
    <row r="717" spans="1:26" ht="15.75" customHeight="1" x14ac:dyDescent="0.2">
      <c r="A717" s="1" t="s">
        <v>1427</v>
      </c>
      <c r="B717" s="1" t="s">
        <v>1428</v>
      </c>
      <c r="C717" s="5" t="str">
        <f ca="1">IFERROR(__xludf.DUMMYFUNCTION("REGEXEXTRACT($B717, $E$2)"),"mtsu")</f>
        <v>mtsu</v>
      </c>
      <c r="E717" s="4"/>
      <c r="F717" s="4"/>
      <c r="G717" s="4"/>
      <c r="H717" s="4"/>
      <c r="I717" s="4"/>
      <c r="J717" s="4"/>
      <c r="K717" s="4"/>
      <c r="L717" s="4"/>
      <c r="M717" s="4"/>
      <c r="N717" s="4"/>
      <c r="O717" s="4"/>
      <c r="P717" s="4"/>
      <c r="Q717" s="4"/>
      <c r="R717" s="4"/>
      <c r="S717" s="4"/>
      <c r="T717" s="4"/>
      <c r="U717" s="4"/>
      <c r="V717" s="4"/>
      <c r="W717" s="4"/>
      <c r="X717" s="4"/>
      <c r="Y717" s="4"/>
      <c r="Z717" s="4"/>
    </row>
    <row r="718" spans="1:26" ht="15.75" customHeight="1" x14ac:dyDescent="0.2">
      <c r="A718" s="1" t="s">
        <v>1429</v>
      </c>
      <c r="B718" s="1" t="s">
        <v>1430</v>
      </c>
      <c r="C718" s="5" t="str">
        <f ca="1">IFERROR(__xludf.DUMMYFUNCTION("REGEXEXTRACT($B718, $E$2)"),"middlebury")</f>
        <v>middlebury</v>
      </c>
      <c r="E718" s="4"/>
      <c r="F718" s="4"/>
      <c r="G718" s="4"/>
      <c r="H718" s="4"/>
      <c r="I718" s="4"/>
      <c r="J718" s="4"/>
      <c r="K718" s="4"/>
      <c r="L718" s="4"/>
      <c r="M718" s="4"/>
      <c r="N718" s="4"/>
      <c r="O718" s="4"/>
      <c r="P718" s="4"/>
      <c r="Q718" s="4"/>
      <c r="R718" s="4"/>
      <c r="S718" s="4"/>
      <c r="T718" s="4"/>
      <c r="U718" s="4"/>
      <c r="V718" s="4"/>
      <c r="W718" s="4"/>
      <c r="X718" s="4"/>
      <c r="Y718" s="4"/>
      <c r="Z718" s="4"/>
    </row>
    <row r="719" spans="1:26" ht="15.75" customHeight="1" x14ac:dyDescent="0.2">
      <c r="A719" s="1" t="s">
        <v>1431</v>
      </c>
      <c r="B719" s="1" t="s">
        <v>1432</v>
      </c>
      <c r="C719" s="5" t="str">
        <f ca="1">IFERROR(__xludf.DUMMYFUNCTION("REGEXEXTRACT($B719, $E$2)"),"midlandu")</f>
        <v>midlandu</v>
      </c>
      <c r="E719" s="4"/>
      <c r="F719" s="4"/>
      <c r="G719" s="4"/>
      <c r="H719" s="4"/>
      <c r="I719" s="4"/>
      <c r="J719" s="4"/>
      <c r="K719" s="4"/>
      <c r="L719" s="4"/>
      <c r="M719" s="4"/>
      <c r="N719" s="4"/>
      <c r="O719" s="4"/>
      <c r="P719" s="4"/>
      <c r="Q719" s="4"/>
      <c r="R719" s="4"/>
      <c r="S719" s="4"/>
      <c r="T719" s="4"/>
      <c r="U719" s="4"/>
      <c r="V719" s="4"/>
      <c r="W719" s="4"/>
      <c r="X719" s="4"/>
      <c r="Y719" s="4"/>
      <c r="Z719" s="4"/>
    </row>
    <row r="720" spans="1:26" ht="15.75" customHeight="1" x14ac:dyDescent="0.2">
      <c r="A720" s="1" t="s">
        <v>1433</v>
      </c>
      <c r="B720" s="1" t="s">
        <v>1434</v>
      </c>
      <c r="C720" s="5" t="str">
        <f ca="1">IFERROR(__xludf.DUMMYFUNCTION("REGEXEXTRACT($B720, $E$2)"),"midway")</f>
        <v>midway</v>
      </c>
      <c r="E720" s="4"/>
      <c r="F720" s="4"/>
      <c r="G720" s="4"/>
      <c r="H720" s="4"/>
      <c r="I720" s="4"/>
      <c r="J720" s="4"/>
      <c r="K720" s="4"/>
      <c r="L720" s="4"/>
      <c r="M720" s="4"/>
      <c r="N720" s="4"/>
      <c r="O720" s="4"/>
      <c r="P720" s="4"/>
      <c r="Q720" s="4"/>
      <c r="R720" s="4"/>
      <c r="S720" s="4"/>
      <c r="T720" s="4"/>
      <c r="U720" s="4"/>
      <c r="V720" s="4"/>
      <c r="W720" s="4"/>
      <c r="X720" s="4"/>
      <c r="Y720" s="4"/>
      <c r="Z720" s="4"/>
    </row>
    <row r="721" spans="1:26" ht="15.75" customHeight="1" x14ac:dyDescent="0.2">
      <c r="A721" s="1" t="s">
        <v>1435</v>
      </c>
      <c r="B721" s="1" t="s">
        <v>1436</v>
      </c>
      <c r="C721" s="5" t="str">
        <f ca="1">IFERROR(__xludf.DUMMYFUNCTION("REGEXEXTRACT($B721, $E$2)"),"mwsu")</f>
        <v>mwsu</v>
      </c>
      <c r="E721" s="4"/>
      <c r="F721" s="4"/>
      <c r="G721" s="4"/>
      <c r="H721" s="4"/>
      <c r="I721" s="4"/>
      <c r="J721" s="4"/>
      <c r="K721" s="4"/>
      <c r="L721" s="4"/>
      <c r="M721" s="4"/>
      <c r="N721" s="4"/>
      <c r="O721" s="4"/>
      <c r="P721" s="4"/>
      <c r="Q721" s="4"/>
      <c r="R721" s="4"/>
      <c r="S721" s="4"/>
      <c r="T721" s="4"/>
      <c r="U721" s="4"/>
      <c r="V721" s="4"/>
      <c r="W721" s="4"/>
      <c r="X721" s="4"/>
      <c r="Y721" s="4"/>
      <c r="Z721" s="4"/>
    </row>
    <row r="722" spans="1:26" ht="15.75" customHeight="1" x14ac:dyDescent="0.2">
      <c r="A722" s="1" t="s">
        <v>1437</v>
      </c>
      <c r="B722" s="1" t="s">
        <v>1438</v>
      </c>
      <c r="C722" s="5" t="str">
        <f ca="1">IFERROR(__xludf.DUMMYFUNCTION("REGEXEXTRACT($B722, $E$2)"),"miles")</f>
        <v>miles</v>
      </c>
      <c r="E722" s="4"/>
      <c r="F722" s="4"/>
      <c r="G722" s="4"/>
      <c r="H722" s="4"/>
      <c r="I722" s="4"/>
      <c r="J722" s="4"/>
      <c r="K722" s="4"/>
      <c r="L722" s="4"/>
      <c r="M722" s="4"/>
      <c r="N722" s="4"/>
      <c r="O722" s="4"/>
      <c r="P722" s="4"/>
      <c r="Q722" s="4"/>
      <c r="R722" s="4"/>
      <c r="S722" s="4"/>
      <c r="T722" s="4"/>
      <c r="U722" s="4"/>
      <c r="V722" s="4"/>
      <c r="W722" s="4"/>
      <c r="X722" s="4"/>
      <c r="Y722" s="4"/>
      <c r="Z722" s="4"/>
    </row>
    <row r="723" spans="1:26" ht="15.75" customHeight="1" x14ac:dyDescent="0.2">
      <c r="A723" s="1" t="s">
        <v>1439</v>
      </c>
      <c r="B723" s="1" t="s">
        <v>1440</v>
      </c>
      <c r="C723" s="5" t="str">
        <f ca="1">IFERROR(__xludf.DUMMYFUNCTION("REGEXEXTRACT($B723, $E$2)"),"millersville")</f>
        <v>millersville</v>
      </c>
      <c r="E723" s="4"/>
      <c r="F723" s="4"/>
      <c r="G723" s="4"/>
      <c r="H723" s="4"/>
      <c r="I723" s="4"/>
      <c r="J723" s="4"/>
      <c r="K723" s="4"/>
      <c r="L723" s="4"/>
      <c r="M723" s="4"/>
      <c r="N723" s="4"/>
      <c r="O723" s="4"/>
      <c r="P723" s="4"/>
      <c r="Q723" s="4"/>
      <c r="R723" s="4"/>
      <c r="S723" s="4"/>
      <c r="T723" s="4"/>
      <c r="U723" s="4"/>
      <c r="V723" s="4"/>
      <c r="W723" s="4"/>
      <c r="X723" s="4"/>
      <c r="Y723" s="4"/>
      <c r="Z723" s="4"/>
    </row>
    <row r="724" spans="1:26" ht="15.75" customHeight="1" x14ac:dyDescent="0.2">
      <c r="A724" s="1" t="s">
        <v>1441</v>
      </c>
      <c r="B724" s="1" t="s">
        <v>1442</v>
      </c>
      <c r="C724" s="5" t="str">
        <f ca="1">IFERROR(__xludf.DUMMYFUNCTION("REGEXEXTRACT($B724, $E$2)"),"milligan")</f>
        <v>milligan</v>
      </c>
      <c r="E724" s="4"/>
      <c r="F724" s="4"/>
      <c r="G724" s="4"/>
      <c r="H724" s="4"/>
      <c r="I724" s="4"/>
      <c r="J724" s="4"/>
      <c r="K724" s="4"/>
      <c r="L724" s="4"/>
      <c r="M724" s="4"/>
      <c r="N724" s="4"/>
      <c r="O724" s="4"/>
      <c r="P724" s="4"/>
      <c r="Q724" s="4"/>
      <c r="R724" s="4"/>
      <c r="S724" s="4"/>
      <c r="T724" s="4"/>
      <c r="U724" s="4"/>
      <c r="V724" s="4"/>
      <c r="W724" s="4"/>
      <c r="X724" s="4"/>
      <c r="Y724" s="4"/>
      <c r="Z724" s="4"/>
    </row>
    <row r="725" spans="1:26" ht="15.75" customHeight="1" x14ac:dyDescent="0.2">
      <c r="A725" s="1" t="s">
        <v>1443</v>
      </c>
      <c r="B725" s="1" t="s">
        <v>1444</v>
      </c>
      <c r="C725" s="5" t="str">
        <f ca="1">IFERROR(__xludf.DUMMYFUNCTION("REGEXEXTRACT($B725, $E$2)"),"millikin")</f>
        <v>millikin</v>
      </c>
      <c r="E725" s="4"/>
      <c r="F725" s="4"/>
      <c r="G725" s="4"/>
      <c r="H725" s="4"/>
      <c r="I725" s="4"/>
      <c r="J725" s="4"/>
      <c r="K725" s="4"/>
      <c r="L725" s="4"/>
      <c r="M725" s="4"/>
      <c r="N725" s="4"/>
      <c r="O725" s="4"/>
      <c r="P725" s="4"/>
      <c r="Q725" s="4"/>
      <c r="R725" s="4"/>
      <c r="S725" s="4"/>
      <c r="T725" s="4"/>
      <c r="U725" s="4"/>
      <c r="V725" s="4"/>
      <c r="W725" s="4"/>
      <c r="X725" s="4"/>
      <c r="Y725" s="4"/>
      <c r="Z725" s="4"/>
    </row>
    <row r="726" spans="1:26" ht="15.75" customHeight="1" x14ac:dyDescent="0.2">
      <c r="A726" s="1" t="s">
        <v>1445</v>
      </c>
      <c r="B726" s="1" t="s">
        <v>1446</v>
      </c>
      <c r="C726" s="5" t="str">
        <f ca="1">IFERROR(__xludf.DUMMYFUNCTION("REGEXEXTRACT($B726, $E$2)"),"mills")</f>
        <v>mills</v>
      </c>
      <c r="E726" s="4"/>
      <c r="F726" s="4"/>
      <c r="G726" s="4"/>
      <c r="H726" s="4"/>
      <c r="I726" s="4"/>
      <c r="J726" s="4"/>
      <c r="K726" s="4"/>
      <c r="L726" s="4"/>
      <c r="M726" s="4"/>
      <c r="N726" s="4"/>
      <c r="O726" s="4"/>
      <c r="P726" s="4"/>
      <c r="Q726" s="4"/>
      <c r="R726" s="4"/>
      <c r="S726" s="4"/>
      <c r="T726" s="4"/>
      <c r="U726" s="4"/>
      <c r="V726" s="4"/>
      <c r="W726" s="4"/>
      <c r="X726" s="4"/>
      <c r="Y726" s="4"/>
      <c r="Z726" s="4"/>
    </row>
    <row r="727" spans="1:26" ht="15.75" customHeight="1" x14ac:dyDescent="0.2">
      <c r="A727" s="1" t="s">
        <v>1447</v>
      </c>
      <c r="B727" s="1" t="s">
        <v>1448</v>
      </c>
      <c r="C727" s="5" t="str">
        <f ca="1">IFERROR(__xludf.DUMMYFUNCTION("REGEXEXTRACT($B727, $E$2)"),"millsaps")</f>
        <v>millsaps</v>
      </c>
      <c r="E727" s="4"/>
      <c r="F727" s="4"/>
      <c r="G727" s="4"/>
      <c r="H727" s="4"/>
      <c r="I727" s="4"/>
      <c r="J727" s="4"/>
      <c r="K727" s="4"/>
      <c r="L727" s="4"/>
      <c r="M727" s="4"/>
      <c r="N727" s="4"/>
      <c r="O727" s="4"/>
      <c r="P727" s="4"/>
      <c r="Q727" s="4"/>
      <c r="R727" s="4"/>
      <c r="S727" s="4"/>
      <c r="T727" s="4"/>
      <c r="U727" s="4"/>
      <c r="V727" s="4"/>
      <c r="W727" s="4"/>
      <c r="X727" s="4"/>
      <c r="Y727" s="4"/>
      <c r="Z727" s="4"/>
    </row>
    <row r="728" spans="1:26" ht="15.75" customHeight="1" x14ac:dyDescent="0.2">
      <c r="A728" s="1" t="s">
        <v>1449</v>
      </c>
      <c r="B728" s="1" t="s">
        <v>1450</v>
      </c>
      <c r="C728" s="5" t="str">
        <f ca="1">IFERROR(__xludf.DUMMYFUNCTION("REGEXEXTRACT($B728, $E$2)"),"miad")</f>
        <v>miad</v>
      </c>
      <c r="E728" s="4"/>
      <c r="F728" s="4"/>
      <c r="G728" s="4"/>
      <c r="H728" s="4"/>
      <c r="I728" s="4"/>
      <c r="J728" s="4"/>
      <c r="K728" s="4"/>
      <c r="L728" s="4"/>
      <c r="M728" s="4"/>
      <c r="N728" s="4"/>
      <c r="O728" s="4"/>
      <c r="P728" s="4"/>
      <c r="Q728" s="4"/>
      <c r="R728" s="4"/>
      <c r="S728" s="4"/>
      <c r="T728" s="4"/>
      <c r="U728" s="4"/>
      <c r="V728" s="4"/>
      <c r="W728" s="4"/>
      <c r="X728" s="4"/>
      <c r="Y728" s="4"/>
      <c r="Z728" s="4"/>
    </row>
    <row r="729" spans="1:26" ht="15.75" customHeight="1" x14ac:dyDescent="0.2">
      <c r="A729" s="1" t="s">
        <v>1451</v>
      </c>
      <c r="B729" s="1" t="s">
        <v>1452</v>
      </c>
      <c r="C729" s="5" t="str">
        <f ca="1">IFERROR(__xludf.DUMMYFUNCTION("REGEXEXTRACT($B729, $E$2)"),"msoe")</f>
        <v>msoe</v>
      </c>
      <c r="E729" s="4"/>
      <c r="F729" s="4"/>
      <c r="G729" s="4"/>
      <c r="H729" s="4"/>
      <c r="I729" s="4"/>
      <c r="J729" s="4"/>
      <c r="K729" s="4"/>
      <c r="L729" s="4"/>
      <c r="M729" s="4"/>
      <c r="N729" s="4"/>
      <c r="O729" s="4"/>
      <c r="P729" s="4"/>
      <c r="Q729" s="4"/>
      <c r="R729" s="4"/>
      <c r="S729" s="4"/>
      <c r="T729" s="4"/>
      <c r="U729" s="4"/>
      <c r="V729" s="4"/>
      <c r="W729" s="4"/>
      <c r="X729" s="4"/>
      <c r="Y729" s="4"/>
      <c r="Z729" s="4"/>
    </row>
    <row r="730" spans="1:26" ht="15.75" customHeight="1" x14ac:dyDescent="0.2">
      <c r="A730" s="1" t="s">
        <v>1453</v>
      </c>
      <c r="B730" s="1" t="s">
        <v>1454</v>
      </c>
      <c r="C730" s="5" t="str">
        <f ca="1">IFERROR(__xludf.DUMMYFUNCTION("REGEXEXTRACT($B730, $E$2)"),"kgi")</f>
        <v>kgi</v>
      </c>
      <c r="E730" s="4"/>
      <c r="F730" s="4"/>
      <c r="G730" s="4"/>
      <c r="H730" s="4"/>
      <c r="I730" s="4"/>
      <c r="J730" s="4"/>
      <c r="K730" s="4"/>
      <c r="L730" s="4"/>
      <c r="M730" s="4"/>
      <c r="N730" s="4"/>
      <c r="O730" s="4"/>
      <c r="P730" s="4"/>
      <c r="Q730" s="4"/>
      <c r="R730" s="4"/>
      <c r="S730" s="4"/>
      <c r="T730" s="4"/>
      <c r="U730" s="4"/>
      <c r="V730" s="4"/>
      <c r="W730" s="4"/>
      <c r="X730" s="4"/>
      <c r="Y730" s="4"/>
      <c r="Z730" s="4"/>
    </row>
    <row r="731" spans="1:26" ht="15.75" customHeight="1" x14ac:dyDescent="0.2">
      <c r="A731" s="1" t="s">
        <v>1455</v>
      </c>
      <c r="B731" s="1" t="s">
        <v>1456</v>
      </c>
      <c r="C731" s="5" t="str">
        <f ca="1">IFERROR(__xludf.DUMMYFUNCTION("REGEXEXTRACT($B731, $E$2)"),"mcad")</f>
        <v>mcad</v>
      </c>
      <c r="E731" s="4"/>
      <c r="F731" s="4"/>
      <c r="G731" s="4"/>
      <c r="H731" s="4"/>
      <c r="I731" s="4"/>
      <c r="J731" s="4"/>
      <c r="K731" s="4"/>
      <c r="L731" s="4"/>
      <c r="M731" s="4"/>
      <c r="N731" s="4"/>
      <c r="O731" s="4"/>
      <c r="P731" s="4"/>
      <c r="Q731" s="4"/>
      <c r="R731" s="4"/>
      <c r="S731" s="4"/>
      <c r="T731" s="4"/>
      <c r="U731" s="4"/>
      <c r="V731" s="4"/>
      <c r="W731" s="4"/>
      <c r="X731" s="4"/>
      <c r="Y731" s="4"/>
      <c r="Z731" s="4"/>
    </row>
    <row r="732" spans="1:26" ht="15.75" customHeight="1" x14ac:dyDescent="0.2">
      <c r="A732" s="1" t="s">
        <v>1457</v>
      </c>
      <c r="B732" s="1" t="s">
        <v>1458</v>
      </c>
      <c r="C732" s="5" t="str">
        <f ca="1">IFERROR(__xludf.DUMMYFUNCTION("REGEXEXTRACT($B732, $E$2)"),"mnsu")</f>
        <v>mnsu</v>
      </c>
      <c r="E732" s="4"/>
      <c r="F732" s="4"/>
      <c r="G732" s="4"/>
      <c r="H732" s="4"/>
      <c r="I732" s="4"/>
      <c r="J732" s="4"/>
      <c r="K732" s="4"/>
      <c r="L732" s="4"/>
      <c r="M732" s="4"/>
      <c r="N732" s="4"/>
      <c r="O732" s="4"/>
      <c r="P732" s="4"/>
      <c r="Q732" s="4"/>
      <c r="R732" s="4"/>
      <c r="S732" s="4"/>
      <c r="T732" s="4"/>
      <c r="U732" s="4"/>
      <c r="V732" s="4"/>
      <c r="W732" s="4"/>
      <c r="X732" s="4"/>
      <c r="Y732" s="4"/>
      <c r="Z732" s="4"/>
    </row>
    <row r="733" spans="1:26" ht="15.75" customHeight="1" x14ac:dyDescent="0.2">
      <c r="A733" s="1" t="s">
        <v>1459</v>
      </c>
      <c r="B733" s="1" t="s">
        <v>1460</v>
      </c>
      <c r="C733" s="5" t="str">
        <f ca="1">IFERROR(__xludf.DUMMYFUNCTION("REGEXEXTRACT($B733, $E$2)"),"mnstate")</f>
        <v>mnstate</v>
      </c>
      <c r="E733" s="4"/>
      <c r="F733" s="4"/>
      <c r="G733" s="4"/>
      <c r="H733" s="4"/>
      <c r="I733" s="4"/>
      <c r="J733" s="4"/>
      <c r="K733" s="4"/>
      <c r="L733" s="4"/>
      <c r="M733" s="4"/>
      <c r="N733" s="4"/>
      <c r="O733" s="4"/>
      <c r="P733" s="4"/>
      <c r="Q733" s="4"/>
      <c r="R733" s="4"/>
      <c r="S733" s="4"/>
      <c r="T733" s="4"/>
      <c r="U733" s="4"/>
      <c r="V733" s="4"/>
      <c r="W733" s="4"/>
      <c r="X733" s="4"/>
      <c r="Y733" s="4"/>
      <c r="Z733" s="4"/>
    </row>
    <row r="734" spans="1:26" ht="15.75" customHeight="1" x14ac:dyDescent="0.2">
      <c r="A734" s="1" t="s">
        <v>1461</v>
      </c>
      <c r="B734" s="1" t="s">
        <v>1462</v>
      </c>
      <c r="C734" s="5" t="str">
        <f ca="1">IFERROR(__xludf.DUMMYFUNCTION("REGEXEXTRACT($B734, $E$2)"),"minotstateu")</f>
        <v>minotstateu</v>
      </c>
      <c r="E734" s="4"/>
      <c r="F734" s="4"/>
      <c r="G734" s="4"/>
      <c r="H734" s="4"/>
      <c r="I734" s="4"/>
      <c r="J734" s="4"/>
      <c r="K734" s="4"/>
      <c r="L734" s="4"/>
      <c r="M734" s="4"/>
      <c r="N734" s="4"/>
      <c r="O734" s="4"/>
      <c r="P734" s="4"/>
      <c r="Q734" s="4"/>
      <c r="R734" s="4"/>
      <c r="S734" s="4"/>
      <c r="T734" s="4"/>
      <c r="U734" s="4"/>
      <c r="V734" s="4"/>
      <c r="W734" s="4"/>
      <c r="X734" s="4"/>
      <c r="Y734" s="4"/>
      <c r="Z734" s="4"/>
    </row>
    <row r="735" spans="1:26" ht="15.75" customHeight="1" x14ac:dyDescent="0.2">
      <c r="A735" s="1" t="s">
        <v>1463</v>
      </c>
      <c r="B735" s="1" t="s">
        <v>1464</v>
      </c>
      <c r="C735" s="5" t="str">
        <f ca="1">IFERROR(__xludf.DUMMYFUNCTION("REGEXEXTRACT($B735, $E$2)"),"misericordia")</f>
        <v>misericordia</v>
      </c>
      <c r="E735" s="4"/>
      <c r="F735" s="4"/>
      <c r="G735" s="4"/>
      <c r="H735" s="4"/>
      <c r="I735" s="4"/>
      <c r="J735" s="4"/>
      <c r="K735" s="4"/>
      <c r="L735" s="4"/>
      <c r="M735" s="4"/>
      <c r="N735" s="4"/>
      <c r="O735" s="4"/>
      <c r="P735" s="4"/>
      <c r="Q735" s="4"/>
      <c r="R735" s="4"/>
      <c r="S735" s="4"/>
      <c r="T735" s="4"/>
      <c r="U735" s="4"/>
      <c r="V735" s="4"/>
      <c r="W735" s="4"/>
      <c r="X735" s="4"/>
      <c r="Y735" s="4"/>
      <c r="Z735" s="4"/>
    </row>
    <row r="736" spans="1:26" ht="15.75" customHeight="1" x14ac:dyDescent="0.2">
      <c r="A736" s="1" t="s">
        <v>1465</v>
      </c>
      <c r="B736" s="1" t="s">
        <v>1466</v>
      </c>
      <c r="C736" s="5" t="str">
        <f ca="1">IFERROR(__xludf.DUMMYFUNCTION("REGEXEXTRACT($B736, $E$2)"),"mc")</f>
        <v>mc</v>
      </c>
      <c r="E736" s="4"/>
      <c r="F736" s="4"/>
      <c r="G736" s="4"/>
      <c r="H736" s="4"/>
      <c r="I736" s="4"/>
      <c r="J736" s="4"/>
      <c r="K736" s="4"/>
      <c r="L736" s="4"/>
      <c r="M736" s="4"/>
      <c r="N736" s="4"/>
      <c r="O736" s="4"/>
      <c r="P736" s="4"/>
      <c r="Q736" s="4"/>
      <c r="R736" s="4"/>
      <c r="S736" s="4"/>
      <c r="T736" s="4"/>
      <c r="U736" s="4"/>
      <c r="V736" s="4"/>
      <c r="W736" s="4"/>
      <c r="X736" s="4"/>
      <c r="Y736" s="4"/>
      <c r="Z736" s="4"/>
    </row>
    <row r="737" spans="1:26" ht="15.75" customHeight="1" x14ac:dyDescent="0.2">
      <c r="A737" s="1" t="s">
        <v>1467</v>
      </c>
      <c r="B737" s="1" t="s">
        <v>1468</v>
      </c>
      <c r="C737" s="5" t="str">
        <f ca="1">IFERROR(__xludf.DUMMYFUNCTION("REGEXEXTRACT($B737, $E$2)"),"msstate")</f>
        <v>msstate</v>
      </c>
      <c r="E737" s="4"/>
      <c r="F737" s="4"/>
      <c r="G737" s="4"/>
      <c r="H737" s="4"/>
      <c r="I737" s="4"/>
      <c r="J737" s="4"/>
      <c r="K737" s="4"/>
      <c r="L737" s="4"/>
      <c r="M737" s="4"/>
      <c r="N737" s="4"/>
      <c r="O737" s="4"/>
      <c r="P737" s="4"/>
      <c r="Q737" s="4"/>
      <c r="R737" s="4"/>
      <c r="S737" s="4"/>
      <c r="T737" s="4"/>
      <c r="U737" s="4"/>
      <c r="V737" s="4"/>
      <c r="W737" s="4"/>
      <c r="X737" s="4"/>
      <c r="Y737" s="4"/>
      <c r="Z737" s="4"/>
    </row>
    <row r="738" spans="1:26" ht="15.75" customHeight="1" x14ac:dyDescent="0.2">
      <c r="A738" s="1" t="s">
        <v>1469</v>
      </c>
      <c r="B738" s="1" t="s">
        <v>1470</v>
      </c>
      <c r="C738" s="5" t="str">
        <f ca="1">IFERROR(__xludf.DUMMYFUNCTION("REGEXEXTRACT($B738, $E$2)"),"muw")</f>
        <v>muw</v>
      </c>
      <c r="E738" s="4"/>
      <c r="F738" s="4"/>
      <c r="G738" s="4"/>
      <c r="H738" s="4"/>
      <c r="I738" s="4"/>
      <c r="J738" s="4"/>
      <c r="K738" s="4"/>
      <c r="L738" s="4"/>
      <c r="M738" s="4"/>
      <c r="N738" s="4"/>
      <c r="O738" s="4"/>
      <c r="P738" s="4"/>
      <c r="Q738" s="4"/>
      <c r="R738" s="4"/>
      <c r="S738" s="4"/>
      <c r="T738" s="4"/>
      <c r="U738" s="4"/>
      <c r="V738" s="4"/>
      <c r="W738" s="4"/>
      <c r="X738" s="4"/>
      <c r="Y738" s="4"/>
      <c r="Z738" s="4"/>
    </row>
    <row r="739" spans="1:26" ht="15.75" customHeight="1" x14ac:dyDescent="0.2">
      <c r="A739" s="1" t="s">
        <v>1471</v>
      </c>
      <c r="B739" s="1" t="s">
        <v>1472</v>
      </c>
      <c r="C739" s="5" t="str">
        <f ca="1">IFERROR(__xludf.DUMMYFUNCTION("REGEXEXTRACT($B739, $E$2)"),"mvsu")</f>
        <v>mvsu</v>
      </c>
      <c r="E739" s="4"/>
      <c r="F739" s="4"/>
      <c r="G739" s="4"/>
      <c r="H739" s="4"/>
      <c r="I739" s="4"/>
      <c r="J739" s="4"/>
      <c r="K739" s="4"/>
      <c r="L739" s="4"/>
      <c r="M739" s="4"/>
      <c r="N739" s="4"/>
      <c r="O739" s="4"/>
      <c r="P739" s="4"/>
      <c r="Q739" s="4"/>
      <c r="R739" s="4"/>
      <c r="S739" s="4"/>
      <c r="T739" s="4"/>
      <c r="U739" s="4"/>
      <c r="V739" s="4"/>
      <c r="W739" s="4"/>
      <c r="X739" s="4"/>
      <c r="Y739" s="4"/>
      <c r="Z739" s="4"/>
    </row>
    <row r="740" spans="1:26" ht="15.75" customHeight="1" x14ac:dyDescent="0.2">
      <c r="A740" s="1" t="s">
        <v>1473</v>
      </c>
      <c r="B740" s="1" t="s">
        <v>1474</v>
      </c>
      <c r="C740" s="5" t="str">
        <f ca="1">IFERROR(__xludf.DUMMYFUNCTION("REGEXEXTRACT($B740, $E$2)"),"mobap")</f>
        <v>mobap</v>
      </c>
      <c r="E740" s="4"/>
      <c r="F740" s="4"/>
      <c r="G740" s="4"/>
      <c r="H740" s="4"/>
      <c r="I740" s="4"/>
      <c r="J740" s="4"/>
      <c r="K740" s="4"/>
      <c r="L740" s="4"/>
      <c r="M740" s="4"/>
      <c r="N740" s="4"/>
      <c r="O740" s="4"/>
      <c r="P740" s="4"/>
      <c r="Q740" s="4"/>
      <c r="R740" s="4"/>
      <c r="S740" s="4"/>
      <c r="T740" s="4"/>
      <c r="U740" s="4"/>
      <c r="V740" s="4"/>
      <c r="W740" s="4"/>
      <c r="X740" s="4"/>
      <c r="Y740" s="4"/>
      <c r="Z740" s="4"/>
    </row>
    <row r="741" spans="1:26" ht="15.75" customHeight="1" x14ac:dyDescent="0.2">
      <c r="A741" s="1" t="s">
        <v>1475</v>
      </c>
      <c r="B741" s="1" t="s">
        <v>1476</v>
      </c>
      <c r="C741" s="5" t="str">
        <f ca="1">IFERROR(__xludf.DUMMYFUNCTION("REGEXEXTRACT($B741, $E$2)"),"mssu")</f>
        <v>mssu</v>
      </c>
      <c r="E741" s="4"/>
      <c r="F741" s="4"/>
      <c r="G741" s="4"/>
      <c r="H741" s="4"/>
      <c r="I741" s="4"/>
      <c r="J741" s="4"/>
      <c r="K741" s="4"/>
      <c r="L741" s="4"/>
      <c r="M741" s="4"/>
      <c r="N741" s="4"/>
      <c r="O741" s="4"/>
      <c r="P741" s="4"/>
      <c r="Q741" s="4"/>
      <c r="R741" s="4"/>
      <c r="S741" s="4"/>
      <c r="T741" s="4"/>
      <c r="U741" s="4"/>
      <c r="V741" s="4"/>
      <c r="W741" s="4"/>
      <c r="X741" s="4"/>
      <c r="Y741" s="4"/>
      <c r="Z741" s="4"/>
    </row>
    <row r="742" spans="1:26" ht="15.75" customHeight="1" x14ac:dyDescent="0.2">
      <c r="A742" s="1" t="s">
        <v>1477</v>
      </c>
      <c r="B742" s="1" t="s">
        <v>1478</v>
      </c>
      <c r="C742" s="5" t="str">
        <f ca="1">IFERROR(__xludf.DUMMYFUNCTION("REGEXEXTRACT($B742, $E$2)"),"missouristate")</f>
        <v>missouristate</v>
      </c>
      <c r="E742" s="4"/>
      <c r="F742" s="4"/>
      <c r="G742" s="4"/>
      <c r="H742" s="4"/>
      <c r="I742" s="4"/>
      <c r="J742" s="4"/>
      <c r="K742" s="4"/>
      <c r="L742" s="4"/>
      <c r="M742" s="4"/>
      <c r="N742" s="4"/>
      <c r="O742" s="4"/>
      <c r="P742" s="4"/>
      <c r="Q742" s="4"/>
      <c r="R742" s="4"/>
      <c r="S742" s="4"/>
      <c r="T742" s="4"/>
      <c r="U742" s="4"/>
      <c r="V742" s="4"/>
      <c r="W742" s="4"/>
      <c r="X742" s="4"/>
      <c r="Y742" s="4"/>
      <c r="Z742" s="4"/>
    </row>
    <row r="743" spans="1:26" ht="15.75" customHeight="1" x14ac:dyDescent="0.2">
      <c r="A743" s="1" t="s">
        <v>1479</v>
      </c>
      <c r="B743" s="1" t="s">
        <v>1480</v>
      </c>
      <c r="C743" s="5" t="str">
        <f ca="1">IFERROR(__xludf.DUMMYFUNCTION("REGEXEXTRACT($B743, $E$2)"),"mst")</f>
        <v>mst</v>
      </c>
      <c r="E743" s="4"/>
      <c r="F743" s="4"/>
      <c r="G743" s="4"/>
      <c r="H743" s="4"/>
      <c r="I743" s="4"/>
      <c r="J743" s="4"/>
      <c r="K743" s="4"/>
      <c r="L743" s="4"/>
      <c r="M743" s="4"/>
      <c r="N743" s="4"/>
      <c r="O743" s="4"/>
      <c r="P743" s="4"/>
      <c r="Q743" s="4"/>
      <c r="R743" s="4"/>
      <c r="S743" s="4"/>
      <c r="T743" s="4"/>
      <c r="U743" s="4"/>
      <c r="V743" s="4"/>
      <c r="W743" s="4"/>
      <c r="X743" s="4"/>
      <c r="Y743" s="4"/>
      <c r="Z743" s="4"/>
    </row>
    <row r="744" spans="1:26" ht="15.75" customHeight="1" x14ac:dyDescent="0.2">
      <c r="A744" s="1" t="s">
        <v>1481</v>
      </c>
      <c r="B744" s="1" t="s">
        <v>1482</v>
      </c>
      <c r="C744" s="5" t="str">
        <f ca="1">IFERROR(__xludf.DUMMYFUNCTION("REGEXEXTRACT($B744, $E$2)"),"moval")</f>
        <v>moval</v>
      </c>
      <c r="E744" s="4"/>
      <c r="F744" s="4"/>
      <c r="G744" s="4"/>
      <c r="H744" s="4"/>
      <c r="I744" s="4"/>
      <c r="J744" s="4"/>
      <c r="K744" s="4"/>
      <c r="L744" s="4"/>
      <c r="M744" s="4"/>
      <c r="N744" s="4"/>
      <c r="O744" s="4"/>
      <c r="P744" s="4"/>
      <c r="Q744" s="4"/>
      <c r="R744" s="4"/>
      <c r="S744" s="4"/>
      <c r="T744" s="4"/>
      <c r="U744" s="4"/>
      <c r="V744" s="4"/>
      <c r="W744" s="4"/>
      <c r="X744" s="4"/>
      <c r="Y744" s="4"/>
      <c r="Z744" s="4"/>
    </row>
    <row r="745" spans="1:26" ht="15.75" customHeight="1" x14ac:dyDescent="0.2">
      <c r="A745" s="1" t="s">
        <v>1483</v>
      </c>
      <c r="B745" s="1" t="s">
        <v>1484</v>
      </c>
      <c r="C745" s="5" t="str">
        <f ca="1">IFERROR(__xludf.DUMMYFUNCTION("REGEXEXTRACT($B745, $E$2)"),"missouriwestern")</f>
        <v>missouriwestern</v>
      </c>
      <c r="E745" s="4"/>
      <c r="F745" s="4"/>
      <c r="G745" s="4"/>
      <c r="H745" s="4"/>
      <c r="I745" s="4"/>
      <c r="J745" s="4"/>
      <c r="K745" s="4"/>
      <c r="L745" s="4"/>
      <c r="M745" s="4"/>
      <c r="N745" s="4"/>
      <c r="O745" s="4"/>
      <c r="P745" s="4"/>
      <c r="Q745" s="4"/>
      <c r="R745" s="4"/>
      <c r="S745" s="4"/>
      <c r="T745" s="4"/>
      <c r="U745" s="4"/>
      <c r="V745" s="4"/>
      <c r="W745" s="4"/>
      <c r="X745" s="4"/>
      <c r="Y745" s="4"/>
      <c r="Z745" s="4"/>
    </row>
    <row r="746" spans="1:26" ht="15.75" customHeight="1" x14ac:dyDescent="0.2">
      <c r="A746" s="1" t="s">
        <v>1485</v>
      </c>
      <c r="B746" s="1" t="s">
        <v>1486</v>
      </c>
      <c r="C746" s="5" t="str">
        <f ca="1">IFERROR(__xludf.DUMMYFUNCTION("REGEXEXTRACT($B746, $E$2)"),"mitchell")</f>
        <v>mitchell</v>
      </c>
      <c r="E746" s="4"/>
      <c r="F746" s="4"/>
      <c r="G746" s="4"/>
      <c r="H746" s="4"/>
      <c r="I746" s="4"/>
      <c r="J746" s="4"/>
      <c r="K746" s="4"/>
      <c r="L746" s="4"/>
      <c r="M746" s="4"/>
      <c r="N746" s="4"/>
      <c r="O746" s="4"/>
      <c r="P746" s="4"/>
      <c r="Q746" s="4"/>
      <c r="R746" s="4"/>
      <c r="S746" s="4"/>
      <c r="T746" s="4"/>
      <c r="U746" s="4"/>
      <c r="V746" s="4"/>
      <c r="W746" s="4"/>
      <c r="X746" s="4"/>
      <c r="Y746" s="4"/>
      <c r="Z746" s="4"/>
    </row>
    <row r="747" spans="1:26" ht="15.75" customHeight="1" x14ac:dyDescent="0.2">
      <c r="A747" s="1" t="s">
        <v>1487</v>
      </c>
      <c r="B747" s="1" t="s">
        <v>1488</v>
      </c>
      <c r="C747" s="5" t="str">
        <f ca="1">IFERROR(__xludf.DUMMYFUNCTION("REGEXEXTRACT($B747, $E$2)"),"molloy")</f>
        <v>molloy</v>
      </c>
      <c r="E747" s="4"/>
      <c r="F747" s="4"/>
      <c r="G747" s="4"/>
      <c r="H747" s="4"/>
      <c r="I747" s="4"/>
      <c r="J747" s="4"/>
      <c r="K747" s="4"/>
      <c r="L747" s="4"/>
      <c r="M747" s="4"/>
      <c r="N747" s="4"/>
      <c r="O747" s="4"/>
      <c r="P747" s="4"/>
      <c r="Q747" s="4"/>
      <c r="R747" s="4"/>
      <c r="S747" s="4"/>
      <c r="T747" s="4"/>
      <c r="U747" s="4"/>
      <c r="V747" s="4"/>
      <c r="W747" s="4"/>
      <c r="X747" s="4"/>
      <c r="Y747" s="4"/>
      <c r="Z747" s="4"/>
    </row>
    <row r="748" spans="1:26" ht="15.75" customHeight="1" x14ac:dyDescent="0.2">
      <c r="A748" s="1" t="s">
        <v>1489</v>
      </c>
      <c r="B748" s="1" t="s">
        <v>1490</v>
      </c>
      <c r="C748" s="5" t="str">
        <f ca="1">IFERROR(__xludf.DUMMYFUNCTION("REGEXEXTRACT($B748, $E$2)"),"monash")</f>
        <v>monash</v>
      </c>
      <c r="E748" s="4"/>
      <c r="F748" s="4"/>
      <c r="G748" s="4"/>
      <c r="H748" s="4"/>
      <c r="I748" s="4"/>
      <c r="J748" s="4"/>
      <c r="K748" s="4"/>
      <c r="L748" s="4"/>
      <c r="M748" s="4"/>
      <c r="N748" s="4"/>
      <c r="O748" s="4"/>
      <c r="P748" s="4"/>
      <c r="Q748" s="4"/>
      <c r="R748" s="4"/>
      <c r="S748" s="4"/>
      <c r="T748" s="4"/>
      <c r="U748" s="4"/>
      <c r="V748" s="4"/>
      <c r="W748" s="4"/>
      <c r="X748" s="4"/>
      <c r="Y748" s="4"/>
      <c r="Z748" s="4"/>
    </row>
    <row r="749" spans="1:26" ht="15.75" customHeight="1" x14ac:dyDescent="0.2">
      <c r="A749" s="1" t="s">
        <v>1491</v>
      </c>
      <c r="B749" s="1" t="s">
        <v>1492</v>
      </c>
      <c r="C749" s="5" t="str">
        <f ca="1">IFERROR(__xludf.DUMMYFUNCTION("REGEXEXTRACT($B749, $E$2)"),"monmouthcollege")</f>
        <v>monmouthcollege</v>
      </c>
      <c r="E749" s="4"/>
      <c r="F749" s="4"/>
      <c r="G749" s="4"/>
      <c r="H749" s="4"/>
      <c r="I749" s="4"/>
      <c r="J749" s="4"/>
      <c r="K749" s="4"/>
      <c r="L749" s="4"/>
      <c r="M749" s="4"/>
      <c r="N749" s="4"/>
      <c r="O749" s="4"/>
      <c r="P749" s="4"/>
      <c r="Q749" s="4"/>
      <c r="R749" s="4"/>
      <c r="S749" s="4"/>
      <c r="T749" s="4"/>
      <c r="U749" s="4"/>
      <c r="V749" s="4"/>
      <c r="W749" s="4"/>
      <c r="X749" s="4"/>
      <c r="Y749" s="4"/>
      <c r="Z749" s="4"/>
    </row>
    <row r="750" spans="1:26" ht="15.75" customHeight="1" x14ac:dyDescent="0.2">
      <c r="A750" s="1" t="s">
        <v>1493</v>
      </c>
      <c r="B750" s="1" t="s">
        <v>1494</v>
      </c>
      <c r="C750" s="5" t="str">
        <f ca="1">IFERROR(__xludf.DUMMYFUNCTION("REGEXEXTRACT($B750, $E$2)"),"monmouth")</f>
        <v>monmouth</v>
      </c>
      <c r="E750" s="4"/>
      <c r="F750" s="4"/>
      <c r="G750" s="4"/>
      <c r="H750" s="4"/>
      <c r="I750" s="4"/>
      <c r="J750" s="4"/>
      <c r="K750" s="4"/>
      <c r="L750" s="4"/>
      <c r="M750" s="4"/>
      <c r="N750" s="4"/>
      <c r="O750" s="4"/>
      <c r="P750" s="4"/>
      <c r="Q750" s="4"/>
      <c r="R750" s="4"/>
      <c r="S750" s="4"/>
      <c r="T750" s="4"/>
      <c r="U750" s="4"/>
      <c r="V750" s="4"/>
      <c r="W750" s="4"/>
      <c r="X750" s="4"/>
      <c r="Y750" s="4"/>
      <c r="Z750" s="4"/>
    </row>
    <row r="751" spans="1:26" ht="15.75" customHeight="1" x14ac:dyDescent="0.2">
      <c r="A751" s="1" t="s">
        <v>1495</v>
      </c>
      <c r="B751" s="1" t="s">
        <v>1496</v>
      </c>
      <c r="C751" s="5" t="str">
        <f ca="1">IFERROR(__xludf.DUMMYFUNCTION("REGEXEXTRACT($B751, $E$2)"),"msubillings")</f>
        <v>msubillings</v>
      </c>
      <c r="E751" s="4"/>
      <c r="F751" s="4"/>
      <c r="G751" s="4"/>
      <c r="H751" s="4"/>
      <c r="I751" s="4"/>
      <c r="J751" s="4"/>
      <c r="K751" s="4"/>
      <c r="L751" s="4"/>
      <c r="M751" s="4"/>
      <c r="N751" s="4"/>
      <c r="O751" s="4"/>
      <c r="P751" s="4"/>
      <c r="Q751" s="4"/>
      <c r="R751" s="4"/>
      <c r="S751" s="4"/>
      <c r="T751" s="4"/>
      <c r="U751" s="4"/>
      <c r="V751" s="4"/>
      <c r="W751" s="4"/>
      <c r="X751" s="4"/>
      <c r="Y751" s="4"/>
      <c r="Z751" s="4"/>
    </row>
    <row r="752" spans="1:26" ht="15.75" customHeight="1" x14ac:dyDescent="0.2">
      <c r="A752" s="1" t="s">
        <v>1497</v>
      </c>
      <c r="B752" s="1" t="s">
        <v>1498</v>
      </c>
      <c r="C752" s="5" t="str">
        <f ca="1">IFERROR(__xludf.DUMMYFUNCTION("REGEXEXTRACT($B752, $E$2)"),"montana")</f>
        <v>montana</v>
      </c>
      <c r="E752" s="4"/>
      <c r="F752" s="4"/>
      <c r="G752" s="4"/>
      <c r="H752" s="4"/>
      <c r="I752" s="4"/>
      <c r="J752" s="4"/>
      <c r="K752" s="4"/>
      <c r="L752" s="4"/>
      <c r="M752" s="4"/>
      <c r="N752" s="4"/>
      <c r="O752" s="4"/>
      <c r="P752" s="4"/>
      <c r="Q752" s="4"/>
      <c r="R752" s="4"/>
      <c r="S752" s="4"/>
      <c r="T752" s="4"/>
      <c r="U752" s="4"/>
      <c r="V752" s="4"/>
      <c r="W752" s="4"/>
      <c r="X752" s="4"/>
      <c r="Y752" s="4"/>
      <c r="Z752" s="4"/>
    </row>
    <row r="753" spans="1:26" ht="15.75" customHeight="1" x14ac:dyDescent="0.2">
      <c r="A753" s="1" t="s">
        <v>1499</v>
      </c>
      <c r="B753" s="1" t="s">
        <v>1500</v>
      </c>
      <c r="C753" s="5" t="str">
        <f ca="1">IFERROR(__xludf.DUMMYFUNCTION("REGEXEXTRACT($B753, $E$2)"),"msun")</f>
        <v>msun</v>
      </c>
      <c r="E753" s="4"/>
      <c r="F753" s="4"/>
      <c r="G753" s="4"/>
      <c r="H753" s="4"/>
      <c r="I753" s="4"/>
      <c r="J753" s="4"/>
      <c r="K753" s="4"/>
      <c r="L753" s="4"/>
      <c r="M753" s="4"/>
      <c r="N753" s="4"/>
      <c r="O753" s="4"/>
      <c r="P753" s="4"/>
      <c r="Q753" s="4"/>
      <c r="R753" s="4"/>
      <c r="S753" s="4"/>
      <c r="T753" s="4"/>
      <c r="U753" s="4"/>
      <c r="V753" s="4"/>
      <c r="W753" s="4"/>
      <c r="X753" s="4"/>
      <c r="Y753" s="4"/>
      <c r="Z753" s="4"/>
    </row>
    <row r="754" spans="1:26" ht="15.75" customHeight="1" x14ac:dyDescent="0.2">
      <c r="A754" s="1" t="s">
        <v>1501</v>
      </c>
      <c r="B754" s="1" t="s">
        <v>1502</v>
      </c>
      <c r="C754" s="5" t="str">
        <f ca="1">IFERROR(__xludf.DUMMYFUNCTION("REGEXEXTRACT($B754, $E$2)"),"mtech")</f>
        <v>mtech</v>
      </c>
      <c r="E754" s="4"/>
      <c r="F754" s="4"/>
      <c r="G754" s="4"/>
      <c r="H754" s="4"/>
      <c r="I754" s="4"/>
      <c r="J754" s="4"/>
      <c r="K754" s="4"/>
      <c r="L754" s="4"/>
      <c r="M754" s="4"/>
      <c r="N754" s="4"/>
      <c r="O754" s="4"/>
      <c r="P754" s="4"/>
      <c r="Q754" s="4"/>
      <c r="R754" s="4"/>
      <c r="S754" s="4"/>
      <c r="T754" s="4"/>
      <c r="U754" s="4"/>
      <c r="V754" s="4"/>
      <c r="W754" s="4"/>
      <c r="X754" s="4"/>
      <c r="Y754" s="4"/>
      <c r="Z754" s="4"/>
    </row>
    <row r="755" spans="1:26" ht="15.75" customHeight="1" x14ac:dyDescent="0.2">
      <c r="A755" s="1" t="s">
        <v>1503</v>
      </c>
      <c r="B755" s="1" t="s">
        <v>1504</v>
      </c>
      <c r="C755" s="5" t="str">
        <f ca="1">IFERROR(__xludf.DUMMYFUNCTION("REGEXEXTRACT($B755, $E$2)"),"montclair")</f>
        <v>montclair</v>
      </c>
      <c r="E755" s="4"/>
      <c r="F755" s="4"/>
      <c r="G755" s="4"/>
      <c r="H755" s="4"/>
      <c r="I755" s="4"/>
      <c r="J755" s="4"/>
      <c r="K755" s="4"/>
      <c r="L755" s="4"/>
      <c r="M755" s="4"/>
      <c r="N755" s="4"/>
      <c r="O755" s="4"/>
      <c r="P755" s="4"/>
      <c r="Q755" s="4"/>
      <c r="R755" s="4"/>
      <c r="S755" s="4"/>
      <c r="T755" s="4"/>
      <c r="U755" s="4"/>
      <c r="V755" s="4"/>
      <c r="W755" s="4"/>
      <c r="X755" s="4"/>
      <c r="Y755" s="4"/>
      <c r="Z755" s="4"/>
    </row>
    <row r="756" spans="1:26" ht="15.75" customHeight="1" x14ac:dyDescent="0.2">
      <c r="A756" s="1" t="s">
        <v>1505</v>
      </c>
      <c r="B756" s="1" t="s">
        <v>1506</v>
      </c>
      <c r="C756" s="5" t="str">
        <f ca="1">IFERROR(__xludf.DUMMYFUNCTION("REGEXEXTRACT($B756, $E$2)"),"montreat")</f>
        <v>montreat</v>
      </c>
      <c r="E756" s="4"/>
      <c r="F756" s="4"/>
      <c r="G756" s="4"/>
      <c r="H756" s="4"/>
      <c r="I756" s="4"/>
      <c r="J756" s="4"/>
      <c r="K756" s="4"/>
      <c r="L756" s="4"/>
      <c r="M756" s="4"/>
      <c r="N756" s="4"/>
      <c r="O756" s="4"/>
      <c r="P756" s="4"/>
      <c r="Q756" s="4"/>
      <c r="R756" s="4"/>
      <c r="S756" s="4"/>
      <c r="T756" s="4"/>
      <c r="U756" s="4"/>
      <c r="V756" s="4"/>
      <c r="W756" s="4"/>
      <c r="X756" s="4"/>
      <c r="Y756" s="4"/>
      <c r="Z756" s="4"/>
    </row>
    <row r="757" spans="1:26" ht="15.75" customHeight="1" x14ac:dyDescent="0.2">
      <c r="A757" s="1" t="s">
        <v>1507</v>
      </c>
      <c r="B757" s="1" t="s">
        <v>1508</v>
      </c>
      <c r="C757" s="5" t="str">
        <f ca="1">IFERROR(__xludf.DUMMYFUNCTION("REGEXEXTRACT($B757, $E$2)"),"montserrat")</f>
        <v>montserrat</v>
      </c>
      <c r="E757" s="4"/>
      <c r="F757" s="4"/>
      <c r="G757" s="4"/>
      <c r="H757" s="4"/>
      <c r="I757" s="4"/>
      <c r="J757" s="4"/>
      <c r="K757" s="4"/>
      <c r="L757" s="4"/>
      <c r="M757" s="4"/>
      <c r="N757" s="4"/>
      <c r="O757" s="4"/>
      <c r="P757" s="4"/>
      <c r="Q757" s="4"/>
      <c r="R757" s="4"/>
      <c r="S757" s="4"/>
      <c r="T757" s="4"/>
      <c r="U757" s="4"/>
      <c r="V757" s="4"/>
      <c r="W757" s="4"/>
      <c r="X757" s="4"/>
      <c r="Y757" s="4"/>
      <c r="Z757" s="4"/>
    </row>
    <row r="758" spans="1:26" ht="15.75" customHeight="1" x14ac:dyDescent="0.2">
      <c r="A758" s="1" t="s">
        <v>1509</v>
      </c>
      <c r="B758" s="1" t="s">
        <v>1510</v>
      </c>
      <c r="C758" s="5" t="str">
        <f ca="1">IFERROR(__xludf.DUMMYFUNCTION("REGEXEXTRACT($B758, $E$2)"),"moravian")</f>
        <v>moravian</v>
      </c>
      <c r="E758" s="4"/>
      <c r="F758" s="4"/>
      <c r="G758" s="4"/>
      <c r="H758" s="4"/>
      <c r="I758" s="4"/>
      <c r="J758" s="4"/>
      <c r="K758" s="4"/>
      <c r="L758" s="4"/>
      <c r="M758" s="4"/>
      <c r="N758" s="4"/>
      <c r="O758" s="4"/>
      <c r="P758" s="4"/>
      <c r="Q758" s="4"/>
      <c r="R758" s="4"/>
      <c r="S758" s="4"/>
      <c r="T758" s="4"/>
      <c r="U758" s="4"/>
      <c r="V758" s="4"/>
      <c r="W758" s="4"/>
      <c r="X758" s="4"/>
      <c r="Y758" s="4"/>
      <c r="Z758" s="4"/>
    </row>
    <row r="759" spans="1:26" ht="15.75" customHeight="1" x14ac:dyDescent="0.2">
      <c r="A759" s="1" t="s">
        <v>1511</v>
      </c>
      <c r="B759" s="1" t="s">
        <v>1512</v>
      </c>
      <c r="C759" s="5" t="str">
        <f ca="1">IFERROR(__xludf.DUMMYFUNCTION("REGEXEXTRACT($B759, $E$2)"),"moreheadstate")</f>
        <v>moreheadstate</v>
      </c>
      <c r="E759" s="4"/>
      <c r="F759" s="4"/>
      <c r="G759" s="4"/>
      <c r="H759" s="4"/>
      <c r="I759" s="4"/>
      <c r="J759" s="4"/>
      <c r="K759" s="4"/>
      <c r="L759" s="4"/>
      <c r="M759" s="4"/>
      <c r="N759" s="4"/>
      <c r="O759" s="4"/>
      <c r="P759" s="4"/>
      <c r="Q759" s="4"/>
      <c r="R759" s="4"/>
      <c r="S759" s="4"/>
      <c r="T759" s="4"/>
      <c r="U759" s="4"/>
      <c r="V759" s="4"/>
      <c r="W759" s="4"/>
      <c r="X759" s="4"/>
      <c r="Y759" s="4"/>
      <c r="Z759" s="4"/>
    </row>
    <row r="760" spans="1:26" ht="15.75" customHeight="1" x14ac:dyDescent="0.2">
      <c r="A760" s="1" t="s">
        <v>1513</v>
      </c>
      <c r="B760" s="1" t="s">
        <v>1514</v>
      </c>
      <c r="C760" s="5" t="str">
        <f ca="1">IFERROR(__xludf.DUMMYFUNCTION("REGEXEXTRACT($B760, $E$2)"),"morehouse")</f>
        <v>morehouse</v>
      </c>
      <c r="E760" s="4"/>
      <c r="F760" s="4"/>
      <c r="G760" s="4"/>
      <c r="H760" s="4"/>
      <c r="I760" s="4"/>
      <c r="J760" s="4"/>
      <c r="K760" s="4"/>
      <c r="L760" s="4"/>
      <c r="M760" s="4"/>
      <c r="N760" s="4"/>
      <c r="O760" s="4"/>
      <c r="P760" s="4"/>
      <c r="Q760" s="4"/>
      <c r="R760" s="4"/>
      <c r="S760" s="4"/>
      <c r="T760" s="4"/>
      <c r="U760" s="4"/>
      <c r="V760" s="4"/>
      <c r="W760" s="4"/>
      <c r="X760" s="4"/>
      <c r="Y760" s="4"/>
      <c r="Z760" s="4"/>
    </row>
    <row r="761" spans="1:26" ht="15.75" customHeight="1" x14ac:dyDescent="0.2">
      <c r="A761" s="1" t="s">
        <v>1515</v>
      </c>
      <c r="B761" s="1" t="s">
        <v>1516</v>
      </c>
      <c r="C761" s="5" t="str">
        <f ca="1">IFERROR(__xludf.DUMMYFUNCTION("REGEXEXTRACT($B761, $E$2)"),"morgan")</f>
        <v>morgan</v>
      </c>
      <c r="E761" s="4"/>
      <c r="F761" s="4"/>
      <c r="G761" s="4"/>
      <c r="H761" s="4"/>
      <c r="I761" s="4"/>
      <c r="J761" s="4"/>
      <c r="K761" s="4"/>
      <c r="L761" s="4"/>
      <c r="M761" s="4"/>
      <c r="N761" s="4"/>
      <c r="O761" s="4"/>
      <c r="P761" s="4"/>
      <c r="Q761" s="4"/>
      <c r="R761" s="4"/>
      <c r="S761" s="4"/>
      <c r="T761" s="4"/>
      <c r="U761" s="4"/>
      <c r="V761" s="4"/>
      <c r="W761" s="4"/>
      <c r="X761" s="4"/>
      <c r="Y761" s="4"/>
      <c r="Z761" s="4"/>
    </row>
    <row r="762" spans="1:26" ht="15.75" customHeight="1" x14ac:dyDescent="0.2">
      <c r="A762" s="1" t="s">
        <v>1517</v>
      </c>
      <c r="B762" s="1" t="s">
        <v>1518</v>
      </c>
      <c r="C762" s="5" t="str">
        <f ca="1">IFERROR(__xludf.DUMMYFUNCTION("REGEXEXTRACT($B762, $E$2)"),"morningside")</f>
        <v>morningside</v>
      </c>
      <c r="E762" s="4"/>
      <c r="F762" s="4"/>
      <c r="G762" s="4"/>
      <c r="H762" s="4"/>
      <c r="I762" s="4"/>
      <c r="J762" s="4"/>
      <c r="K762" s="4"/>
      <c r="L762" s="4"/>
      <c r="M762" s="4"/>
      <c r="N762" s="4"/>
      <c r="O762" s="4"/>
      <c r="P762" s="4"/>
      <c r="Q762" s="4"/>
      <c r="R762" s="4"/>
      <c r="S762" s="4"/>
      <c r="T762" s="4"/>
      <c r="U762" s="4"/>
      <c r="V762" s="4"/>
      <c r="W762" s="4"/>
      <c r="X762" s="4"/>
      <c r="Y762" s="4"/>
      <c r="Z762" s="4"/>
    </row>
    <row r="763" spans="1:26" ht="15.75" customHeight="1" x14ac:dyDescent="0.2">
      <c r="A763" s="1" t="s">
        <v>1519</v>
      </c>
      <c r="B763" s="1" t="s">
        <v>1520</v>
      </c>
      <c r="C763" s="5" t="str">
        <f ca="1">IFERROR(__xludf.DUMMYFUNCTION("REGEXEXTRACT($B763, $E$2)"),"morris")</f>
        <v>morris</v>
      </c>
      <c r="E763" s="4"/>
      <c r="F763" s="4"/>
      <c r="G763" s="4"/>
      <c r="H763" s="4"/>
      <c r="I763" s="4"/>
      <c r="J763" s="4"/>
      <c r="K763" s="4"/>
      <c r="L763" s="4"/>
      <c r="M763" s="4"/>
      <c r="N763" s="4"/>
      <c r="O763" s="4"/>
      <c r="P763" s="4"/>
      <c r="Q763" s="4"/>
      <c r="R763" s="4"/>
      <c r="S763" s="4"/>
      <c r="T763" s="4"/>
      <c r="U763" s="4"/>
      <c r="V763" s="4"/>
      <c r="W763" s="4"/>
      <c r="X763" s="4"/>
      <c r="Y763" s="4"/>
      <c r="Z763" s="4"/>
    </row>
    <row r="764" spans="1:26" ht="15.75" customHeight="1" x14ac:dyDescent="0.2">
      <c r="A764" s="1" t="s">
        <v>1521</v>
      </c>
      <c r="B764" s="1" t="s">
        <v>1522</v>
      </c>
      <c r="C764" s="5" t="str">
        <f ca="1">IFERROR(__xludf.DUMMYFUNCTION("REGEXEXTRACT($B764, $E$2)"),"mtaloy")</f>
        <v>mtaloy</v>
      </c>
      <c r="E764" s="4"/>
      <c r="F764" s="4"/>
      <c r="G764" s="4"/>
      <c r="H764" s="4"/>
      <c r="I764" s="4"/>
      <c r="J764" s="4"/>
      <c r="K764" s="4"/>
      <c r="L764" s="4"/>
      <c r="M764" s="4"/>
      <c r="N764" s="4"/>
      <c r="O764" s="4"/>
      <c r="P764" s="4"/>
      <c r="Q764" s="4"/>
      <c r="R764" s="4"/>
      <c r="S764" s="4"/>
      <c r="T764" s="4"/>
      <c r="U764" s="4"/>
      <c r="V764" s="4"/>
      <c r="W764" s="4"/>
      <c r="X764" s="4"/>
      <c r="Y764" s="4"/>
      <c r="Z764" s="4"/>
    </row>
    <row r="765" spans="1:26" ht="15.75" customHeight="1" x14ac:dyDescent="0.2">
      <c r="A765" s="1" t="s">
        <v>1523</v>
      </c>
      <c r="B765" s="1" t="s">
        <v>1524</v>
      </c>
      <c r="C765" s="5" t="str">
        <f ca="1">IFERROR(__xludf.DUMMYFUNCTION("REGEXEXTRACT($B765, $E$2)"),"mccn")</f>
        <v>mccn</v>
      </c>
      <c r="E765" s="4"/>
      <c r="F765" s="4"/>
      <c r="G765" s="4"/>
      <c r="H765" s="4"/>
      <c r="I765" s="4"/>
      <c r="J765" s="4"/>
      <c r="K765" s="4"/>
      <c r="L765" s="4"/>
      <c r="M765" s="4"/>
      <c r="N765" s="4"/>
      <c r="O765" s="4"/>
      <c r="P765" s="4"/>
      <c r="Q765" s="4"/>
      <c r="R765" s="4"/>
      <c r="S765" s="4"/>
      <c r="T765" s="4"/>
      <c r="U765" s="4"/>
      <c r="V765" s="4"/>
      <c r="W765" s="4"/>
      <c r="X765" s="4"/>
      <c r="Y765" s="4"/>
      <c r="Z765" s="4"/>
    </row>
    <row r="766" spans="1:26" ht="15.75" customHeight="1" x14ac:dyDescent="0.2">
      <c r="A766" s="1" t="s">
        <v>1525</v>
      </c>
      <c r="B766" s="1" t="s">
        <v>1526</v>
      </c>
      <c r="C766" s="5" t="str">
        <f ca="1">IFERROR(__xludf.DUMMYFUNCTION("REGEXEXTRACT($B766, $E$2)"),"mtholyoke")</f>
        <v>mtholyoke</v>
      </c>
      <c r="E766" s="4"/>
      <c r="F766" s="4"/>
      <c r="G766" s="4"/>
      <c r="H766" s="4"/>
      <c r="I766" s="4"/>
      <c r="J766" s="4"/>
      <c r="K766" s="4"/>
      <c r="L766" s="4"/>
      <c r="M766" s="4"/>
      <c r="N766" s="4"/>
      <c r="O766" s="4"/>
      <c r="P766" s="4"/>
      <c r="Q766" s="4"/>
      <c r="R766" s="4"/>
      <c r="S766" s="4"/>
      <c r="T766" s="4"/>
      <c r="U766" s="4"/>
      <c r="V766" s="4"/>
      <c r="W766" s="4"/>
      <c r="X766" s="4"/>
      <c r="Y766" s="4"/>
      <c r="Z766" s="4"/>
    </row>
    <row r="767" spans="1:26" ht="15.75" customHeight="1" x14ac:dyDescent="0.2">
      <c r="A767" s="1" t="s">
        <v>1527</v>
      </c>
      <c r="B767" s="1" t="s">
        <v>1528</v>
      </c>
      <c r="C767" s="5" t="str">
        <f ca="1">IFERROR(__xludf.DUMMYFUNCTION("REGEXEXTRACT($B767, $E$2)"),"mtmc")</f>
        <v>mtmc</v>
      </c>
      <c r="E767" s="4"/>
      <c r="F767" s="4"/>
      <c r="G767" s="4"/>
      <c r="H767" s="4"/>
      <c r="I767" s="4"/>
      <c r="J767" s="4"/>
      <c r="K767" s="4"/>
      <c r="L767" s="4"/>
      <c r="M767" s="4"/>
      <c r="N767" s="4"/>
      <c r="O767" s="4"/>
      <c r="P767" s="4"/>
      <c r="Q767" s="4"/>
      <c r="R767" s="4"/>
      <c r="S767" s="4"/>
      <c r="T767" s="4"/>
      <c r="U767" s="4"/>
      <c r="V767" s="4"/>
      <c r="W767" s="4"/>
      <c r="X767" s="4"/>
      <c r="Y767" s="4"/>
      <c r="Z767" s="4"/>
    </row>
    <row r="768" spans="1:26" ht="15.75" customHeight="1" x14ac:dyDescent="0.2">
      <c r="A768" s="1" t="s">
        <v>1529</v>
      </c>
      <c r="B768" s="1" t="s">
        <v>1530</v>
      </c>
      <c r="C768" s="5" t="str">
        <f ca="1">IFERROR(__xludf.DUMMYFUNCTION("REGEXEXTRACT($B768, $E$2)"),"mtmary")</f>
        <v>mtmary</v>
      </c>
      <c r="E768" s="4"/>
      <c r="F768" s="4"/>
      <c r="G768" s="4"/>
      <c r="H768" s="4"/>
      <c r="I768" s="4"/>
      <c r="J768" s="4"/>
      <c r="K768" s="4"/>
      <c r="L768" s="4"/>
      <c r="M768" s="4"/>
      <c r="N768" s="4"/>
      <c r="O768" s="4"/>
      <c r="P768" s="4"/>
      <c r="Q768" s="4"/>
      <c r="R768" s="4"/>
      <c r="S768" s="4"/>
      <c r="T768" s="4"/>
      <c r="U768" s="4"/>
      <c r="V768" s="4"/>
      <c r="W768" s="4"/>
      <c r="X768" s="4"/>
      <c r="Y768" s="4"/>
      <c r="Z768" s="4"/>
    </row>
    <row r="769" spans="1:26" ht="15.75" customHeight="1" x14ac:dyDescent="0.2">
      <c r="A769" s="1" t="s">
        <v>1531</v>
      </c>
      <c r="B769" s="1" t="s">
        <v>1532</v>
      </c>
      <c r="C769" s="5" t="str">
        <f ca="1">IFERROR(__xludf.DUMMYFUNCTION("REGEXEXTRACT($B769, $E$2)"),"mtmercy")</f>
        <v>mtmercy</v>
      </c>
      <c r="E769" s="4"/>
      <c r="F769" s="4"/>
      <c r="G769" s="4"/>
      <c r="H769" s="4"/>
      <c r="I769" s="4"/>
      <c r="J769" s="4"/>
      <c r="K769" s="4"/>
      <c r="L769" s="4"/>
      <c r="M769" s="4"/>
      <c r="N769" s="4"/>
      <c r="O769" s="4"/>
      <c r="P769" s="4"/>
      <c r="Q769" s="4"/>
      <c r="R769" s="4"/>
      <c r="S769" s="4"/>
      <c r="T769" s="4"/>
      <c r="U769" s="4"/>
      <c r="V769" s="4"/>
      <c r="W769" s="4"/>
      <c r="X769" s="4"/>
      <c r="Y769" s="4"/>
      <c r="Z769" s="4"/>
    </row>
    <row r="770" spans="1:26" ht="15.75" customHeight="1" x14ac:dyDescent="0.2">
      <c r="A770" s="1" t="s">
        <v>1533</v>
      </c>
      <c r="B770" s="1" t="s">
        <v>1534</v>
      </c>
      <c r="C770" s="5" t="str">
        <f ca="1">IFERROR(__xludf.DUMMYFUNCTION("REGEXEXTRACT($B770, $E$2)"),"msmc")</f>
        <v>msmc</v>
      </c>
      <c r="E770" s="4"/>
      <c r="F770" s="4"/>
      <c r="G770" s="4"/>
      <c r="H770" s="4"/>
      <c r="I770" s="4"/>
      <c r="J770" s="4"/>
      <c r="K770" s="4"/>
      <c r="L770" s="4"/>
      <c r="M770" s="4"/>
      <c r="N770" s="4"/>
      <c r="O770" s="4"/>
      <c r="P770" s="4"/>
      <c r="Q770" s="4"/>
      <c r="R770" s="4"/>
      <c r="S770" s="4"/>
      <c r="T770" s="4"/>
      <c r="U770" s="4"/>
      <c r="V770" s="4"/>
      <c r="W770" s="4"/>
      <c r="X770" s="4"/>
      <c r="Y770" s="4"/>
      <c r="Z770" s="4"/>
    </row>
    <row r="771" spans="1:26" ht="15.75" customHeight="1" x14ac:dyDescent="0.2">
      <c r="A771" s="1" t="s">
        <v>1535</v>
      </c>
      <c r="B771" s="1" t="s">
        <v>1536</v>
      </c>
      <c r="C771" s="5" t="str">
        <f ca="1">IFERROR(__xludf.DUMMYFUNCTION("REGEXEXTRACT($B771, $E$2)"),"msmu")</f>
        <v>msmu</v>
      </c>
      <c r="E771" s="4"/>
      <c r="F771" s="4"/>
      <c r="G771" s="4"/>
      <c r="H771" s="4"/>
      <c r="I771" s="4"/>
      <c r="J771" s="4"/>
      <c r="K771" s="4"/>
      <c r="L771" s="4"/>
      <c r="M771" s="4"/>
      <c r="N771" s="4"/>
      <c r="O771" s="4"/>
      <c r="P771" s="4"/>
      <c r="Q771" s="4"/>
      <c r="R771" s="4"/>
      <c r="S771" s="4"/>
      <c r="T771" s="4"/>
      <c r="U771" s="4"/>
      <c r="V771" s="4"/>
      <c r="W771" s="4"/>
      <c r="X771" s="4"/>
      <c r="Y771" s="4"/>
      <c r="Z771" s="4"/>
    </row>
    <row r="772" spans="1:26" ht="15.75" customHeight="1" x14ac:dyDescent="0.2">
      <c r="A772" s="1" t="s">
        <v>1537</v>
      </c>
      <c r="B772" s="1" t="s">
        <v>1538</v>
      </c>
      <c r="C772" s="5" t="str">
        <f ca="1">IFERROR(__xludf.DUMMYFUNCTION("REGEXEXTRACT($B772, $E$2)"),"msj")</f>
        <v>msj</v>
      </c>
      <c r="E772" s="4"/>
      <c r="F772" s="4"/>
      <c r="G772" s="4"/>
      <c r="H772" s="4"/>
      <c r="I772" s="4"/>
      <c r="J772" s="4"/>
      <c r="K772" s="4"/>
      <c r="L772" s="4"/>
      <c r="M772" s="4"/>
      <c r="N772" s="4"/>
      <c r="O772" s="4"/>
      <c r="P772" s="4"/>
      <c r="Q772" s="4"/>
      <c r="R772" s="4"/>
      <c r="S772" s="4"/>
      <c r="T772" s="4"/>
      <c r="U772" s="4"/>
      <c r="V772" s="4"/>
      <c r="W772" s="4"/>
      <c r="X772" s="4"/>
      <c r="Y772" s="4"/>
      <c r="Z772" s="4"/>
    </row>
    <row r="773" spans="1:26" ht="15.75" customHeight="1" x14ac:dyDescent="0.2">
      <c r="A773" s="1" t="s">
        <v>1539</v>
      </c>
      <c r="B773" s="1" t="s">
        <v>1540</v>
      </c>
      <c r="C773" s="5" t="str">
        <f ca="1">IFERROR(__xludf.DUMMYFUNCTION("REGEXEXTRACT($B773, $E$2)"),"msmary")</f>
        <v>msmary</v>
      </c>
      <c r="E773" s="4"/>
      <c r="F773" s="4"/>
      <c r="G773" s="4"/>
      <c r="H773" s="4"/>
      <c r="I773" s="4"/>
      <c r="J773" s="4"/>
      <c r="K773" s="4"/>
      <c r="L773" s="4"/>
      <c r="M773" s="4"/>
      <c r="N773" s="4"/>
      <c r="O773" s="4"/>
      <c r="P773" s="4"/>
      <c r="Q773" s="4"/>
      <c r="R773" s="4"/>
      <c r="S773" s="4"/>
      <c r="T773" s="4"/>
      <c r="U773" s="4"/>
      <c r="V773" s="4"/>
      <c r="W773" s="4"/>
      <c r="X773" s="4"/>
      <c r="Y773" s="4"/>
      <c r="Z773" s="4"/>
    </row>
    <row r="774" spans="1:26" ht="15.75" customHeight="1" x14ac:dyDescent="0.2">
      <c r="A774" s="1" t="s">
        <v>1541</v>
      </c>
      <c r="B774" s="1" t="s">
        <v>1542</v>
      </c>
      <c r="C774" s="5" t="str">
        <f ca="1">IFERROR(__xludf.DUMMYFUNCTION("REGEXEXTRACT($B774, $E$2)"),"mvnu")</f>
        <v>mvnu</v>
      </c>
      <c r="E774" s="4"/>
      <c r="F774" s="4"/>
      <c r="G774" s="4"/>
      <c r="H774" s="4"/>
      <c r="I774" s="4"/>
      <c r="J774" s="4"/>
      <c r="K774" s="4"/>
      <c r="L774" s="4"/>
      <c r="M774" s="4"/>
      <c r="N774" s="4"/>
      <c r="O774" s="4"/>
      <c r="P774" s="4"/>
      <c r="Q774" s="4"/>
      <c r="R774" s="4"/>
      <c r="S774" s="4"/>
      <c r="T774" s="4"/>
      <c r="U774" s="4"/>
      <c r="V774" s="4"/>
      <c r="W774" s="4"/>
      <c r="X774" s="4"/>
      <c r="Y774" s="4"/>
      <c r="Z774" s="4"/>
    </row>
    <row r="775" spans="1:26" ht="15.75" customHeight="1" x14ac:dyDescent="0.2">
      <c r="A775" s="1" t="s">
        <v>1543</v>
      </c>
      <c r="B775" s="1" t="s">
        <v>1544</v>
      </c>
      <c r="C775" s="5" t="str">
        <f ca="1">IFERROR(__xludf.DUMMYFUNCTION("REGEXEXTRACT($B775, $E$2)"),"muhlenberg")</f>
        <v>muhlenberg</v>
      </c>
      <c r="E775" s="4"/>
      <c r="F775" s="4"/>
      <c r="G775" s="4"/>
      <c r="H775" s="4"/>
      <c r="I775" s="4"/>
      <c r="J775" s="4"/>
      <c r="K775" s="4"/>
      <c r="L775" s="4"/>
      <c r="M775" s="4"/>
      <c r="N775" s="4"/>
      <c r="O775" s="4"/>
      <c r="P775" s="4"/>
      <c r="Q775" s="4"/>
      <c r="R775" s="4"/>
      <c r="S775" s="4"/>
      <c r="T775" s="4"/>
      <c r="U775" s="4"/>
      <c r="V775" s="4"/>
      <c r="W775" s="4"/>
      <c r="X775" s="4"/>
      <c r="Y775" s="4"/>
      <c r="Z775" s="4"/>
    </row>
    <row r="776" spans="1:26" ht="15.75" customHeight="1" x14ac:dyDescent="0.2">
      <c r="A776" s="1" t="s">
        <v>1545</v>
      </c>
      <c r="B776" s="1" t="s">
        <v>1546</v>
      </c>
      <c r="C776" s="5" t="str">
        <f ca="1">IFERROR(__xludf.DUMMYFUNCTION("REGEXEXTRACT($B776, $E$2)"),"multnomah")</f>
        <v>multnomah</v>
      </c>
      <c r="E776" s="4"/>
      <c r="F776" s="4"/>
      <c r="G776" s="4"/>
      <c r="H776" s="4"/>
      <c r="I776" s="4"/>
      <c r="J776" s="4"/>
      <c r="K776" s="4"/>
      <c r="L776" s="4"/>
      <c r="M776" s="4"/>
      <c r="N776" s="4"/>
      <c r="O776" s="4"/>
      <c r="P776" s="4"/>
      <c r="Q776" s="4"/>
      <c r="R776" s="4"/>
      <c r="S776" s="4"/>
      <c r="T776" s="4"/>
      <c r="U776" s="4"/>
      <c r="V776" s="4"/>
      <c r="W776" s="4"/>
      <c r="X776" s="4"/>
      <c r="Y776" s="4"/>
      <c r="Z776" s="4"/>
    </row>
    <row r="777" spans="1:26" ht="15.75" customHeight="1" x14ac:dyDescent="0.2">
      <c r="A777" s="1" t="s">
        <v>1547</v>
      </c>
      <c r="B777" s="1" t="s">
        <v>1548</v>
      </c>
      <c r="C777" s="5" t="str">
        <f ca="1">IFERROR(__xludf.DUMMYFUNCTION("REGEXEXTRACT($B777, $E$2)"),"murraystate")</f>
        <v>murraystate</v>
      </c>
      <c r="E777" s="4"/>
      <c r="F777" s="4"/>
      <c r="G777" s="4"/>
      <c r="H777" s="4"/>
      <c r="I777" s="4"/>
      <c r="J777" s="4"/>
      <c r="K777" s="4"/>
      <c r="L777" s="4"/>
      <c r="M777" s="4"/>
      <c r="N777" s="4"/>
      <c r="O777" s="4"/>
      <c r="P777" s="4"/>
      <c r="Q777" s="4"/>
      <c r="R777" s="4"/>
      <c r="S777" s="4"/>
      <c r="T777" s="4"/>
      <c r="U777" s="4"/>
      <c r="V777" s="4"/>
      <c r="W777" s="4"/>
      <c r="X777" s="4"/>
      <c r="Y777" s="4"/>
      <c r="Z777" s="4"/>
    </row>
    <row r="778" spans="1:26" ht="15.75" customHeight="1" x14ac:dyDescent="0.2">
      <c r="A778" s="1" t="s">
        <v>1549</v>
      </c>
      <c r="B778" s="1" t="s">
        <v>1550</v>
      </c>
      <c r="C778" s="5" t="str">
        <f ca="1">IFERROR(__xludf.DUMMYFUNCTION("REGEXEXTRACT($B778, $E$2)"),"muskingum")</f>
        <v>muskingum</v>
      </c>
      <c r="E778" s="4"/>
      <c r="F778" s="4"/>
      <c r="G778" s="4"/>
      <c r="H778" s="4"/>
      <c r="I778" s="4"/>
      <c r="J778" s="4"/>
      <c r="K778" s="4"/>
      <c r="L778" s="4"/>
      <c r="M778" s="4"/>
      <c r="N778" s="4"/>
      <c r="O778" s="4"/>
      <c r="P778" s="4"/>
      <c r="Q778" s="4"/>
      <c r="R778" s="4"/>
      <c r="S778" s="4"/>
      <c r="T778" s="4"/>
      <c r="U778" s="4"/>
      <c r="V778" s="4"/>
      <c r="W778" s="4"/>
      <c r="X778" s="4"/>
      <c r="Y778" s="4"/>
      <c r="Z778" s="4"/>
    </row>
    <row r="779" spans="1:26" ht="15.75" customHeight="1" x14ac:dyDescent="0.2">
      <c r="A779" s="1" t="s">
        <v>1551</v>
      </c>
      <c r="B779" s="1" t="s">
        <v>1552</v>
      </c>
      <c r="C779" s="5" t="str">
        <f ca="1">IFERROR(__xludf.DUMMYFUNCTION("REGEXEXTRACT($B779, $E$2)"),"naropa")</f>
        <v>naropa</v>
      </c>
      <c r="E779" s="4"/>
      <c r="F779" s="4"/>
      <c r="G779" s="4"/>
      <c r="H779" s="4"/>
      <c r="I779" s="4"/>
      <c r="J779" s="4"/>
      <c r="K779" s="4"/>
      <c r="L779" s="4"/>
      <c r="M779" s="4"/>
      <c r="N779" s="4"/>
      <c r="O779" s="4"/>
      <c r="P779" s="4"/>
      <c r="Q779" s="4"/>
      <c r="R779" s="4"/>
      <c r="S779" s="4"/>
      <c r="T779" s="4"/>
      <c r="U779" s="4"/>
      <c r="V779" s="4"/>
      <c r="W779" s="4"/>
      <c r="X779" s="4"/>
      <c r="Y779" s="4"/>
      <c r="Z779" s="4"/>
    </row>
    <row r="780" spans="1:26" ht="15.75" customHeight="1" x14ac:dyDescent="0.2">
      <c r="A780" s="1" t="s">
        <v>1553</v>
      </c>
      <c r="B780" s="1" t="s">
        <v>1554</v>
      </c>
      <c r="C780" s="5" t="str">
        <f ca="1">IFERROR(__xludf.DUMMYFUNCTION("REGEXEXTRACT($B780, $E$2)"),"nl")</f>
        <v>nl</v>
      </c>
      <c r="E780" s="4"/>
      <c r="F780" s="4"/>
      <c r="G780" s="4"/>
      <c r="H780" s="4"/>
      <c r="I780" s="4"/>
      <c r="J780" s="4"/>
      <c r="K780" s="4"/>
      <c r="L780" s="4"/>
      <c r="M780" s="4"/>
      <c r="N780" s="4"/>
      <c r="O780" s="4"/>
      <c r="P780" s="4"/>
      <c r="Q780" s="4"/>
      <c r="R780" s="4"/>
      <c r="S780" s="4"/>
      <c r="T780" s="4"/>
      <c r="U780" s="4"/>
      <c r="V780" s="4"/>
      <c r="W780" s="4"/>
      <c r="X780" s="4"/>
      <c r="Y780" s="4"/>
      <c r="Z780" s="4"/>
    </row>
    <row r="781" spans="1:26" ht="15.75" customHeight="1" x14ac:dyDescent="0.2">
      <c r="A781" s="1" t="s">
        <v>1555</v>
      </c>
      <c r="B781" s="1" t="s">
        <v>1556</v>
      </c>
      <c r="C781" s="5" t="str">
        <f ca="1">IFERROR(__xludf.DUMMYFUNCTION("REGEXEXTRACT($B781, $E$2)"),"nbc")</f>
        <v>nbc</v>
      </c>
      <c r="E781" s="4"/>
      <c r="F781" s="4"/>
      <c r="G781" s="4"/>
      <c r="H781" s="4"/>
      <c r="I781" s="4"/>
      <c r="J781" s="4"/>
      <c r="K781" s="4"/>
      <c r="L781" s="4"/>
      <c r="M781" s="4"/>
      <c r="N781" s="4"/>
      <c r="O781" s="4"/>
      <c r="P781" s="4"/>
      <c r="Q781" s="4"/>
      <c r="R781" s="4"/>
      <c r="S781" s="4"/>
      <c r="T781" s="4"/>
      <c r="U781" s="4"/>
      <c r="V781" s="4"/>
      <c r="W781" s="4"/>
      <c r="X781" s="4"/>
      <c r="Y781" s="4"/>
      <c r="Z781" s="4"/>
    </row>
    <row r="782" spans="1:26" ht="15.75" customHeight="1" x14ac:dyDescent="0.2">
      <c r="A782" s="1" t="s">
        <v>1557</v>
      </c>
      <c r="B782" s="1" t="s">
        <v>1558</v>
      </c>
      <c r="C782" s="5" t="str">
        <f ca="1">IFERROR(__xludf.DUMMYFUNCTION("REGEXEXTRACT($B782, $E$2)"),"naz")</f>
        <v>naz</v>
      </c>
      <c r="E782" s="4"/>
      <c r="F782" s="4"/>
      <c r="G782" s="4"/>
      <c r="H782" s="4"/>
      <c r="I782" s="4"/>
      <c r="J782" s="4"/>
      <c r="K782" s="4"/>
      <c r="L782" s="4"/>
      <c r="M782" s="4"/>
      <c r="N782" s="4"/>
      <c r="O782" s="4"/>
      <c r="P782" s="4"/>
      <c r="Q782" s="4"/>
      <c r="R782" s="4"/>
      <c r="S782" s="4"/>
      <c r="T782" s="4"/>
      <c r="U782" s="4"/>
      <c r="V782" s="4"/>
      <c r="W782" s="4"/>
      <c r="X782" s="4"/>
      <c r="Y782" s="4"/>
      <c r="Z782" s="4"/>
    </row>
    <row r="783" spans="1:26" ht="15.75" customHeight="1" x14ac:dyDescent="0.2">
      <c r="A783" s="1" t="s">
        <v>1559</v>
      </c>
      <c r="B783" s="1" t="s">
        <v>1560</v>
      </c>
      <c r="C783" s="5" t="str">
        <f ca="1">IFERROR(__xludf.DUMMYFUNCTION("REGEXEXTRACT($B783, $E$2)"),"nechristian")</f>
        <v>nechristian</v>
      </c>
      <c r="E783" s="4"/>
      <c r="F783" s="4"/>
      <c r="G783" s="4"/>
      <c r="H783" s="4"/>
      <c r="I783" s="4"/>
      <c r="J783" s="4"/>
      <c r="K783" s="4"/>
      <c r="L783" s="4"/>
      <c r="M783" s="4"/>
      <c r="N783" s="4"/>
      <c r="O783" s="4"/>
      <c r="P783" s="4"/>
      <c r="Q783" s="4"/>
      <c r="R783" s="4"/>
      <c r="S783" s="4"/>
      <c r="T783" s="4"/>
      <c r="U783" s="4"/>
      <c r="V783" s="4"/>
      <c r="W783" s="4"/>
      <c r="X783" s="4"/>
      <c r="Y783" s="4"/>
      <c r="Z783" s="4"/>
    </row>
    <row r="784" spans="1:26" ht="15.75" customHeight="1" x14ac:dyDescent="0.2">
      <c r="A784" s="1" t="s">
        <v>1561</v>
      </c>
      <c r="B784" s="1" t="s">
        <v>1562</v>
      </c>
      <c r="C784" s="5" t="str">
        <f ca="1">IFERROR(__xludf.DUMMYFUNCTION("REGEXEXTRACT($B784, $E$2)"),"methodistcollege")</f>
        <v>methodistcollege</v>
      </c>
      <c r="E784" s="4"/>
      <c r="F784" s="4"/>
      <c r="G784" s="4"/>
      <c r="H784" s="4"/>
      <c r="I784" s="4"/>
      <c r="J784" s="4"/>
      <c r="K784" s="4"/>
      <c r="L784" s="4"/>
      <c r="M784" s="4"/>
      <c r="N784" s="4"/>
      <c r="O784" s="4"/>
      <c r="P784" s="4"/>
      <c r="Q784" s="4"/>
      <c r="R784" s="4"/>
      <c r="S784" s="4"/>
      <c r="T784" s="4"/>
      <c r="U784" s="4"/>
      <c r="V784" s="4"/>
      <c r="W784" s="4"/>
      <c r="X784" s="4"/>
      <c r="Y784" s="4"/>
      <c r="Z784" s="4"/>
    </row>
    <row r="785" spans="1:26" ht="15.75" customHeight="1" x14ac:dyDescent="0.2">
      <c r="A785" s="1" t="s">
        <v>1563</v>
      </c>
      <c r="B785" s="1" t="s">
        <v>1564</v>
      </c>
      <c r="C785" s="5" t="str">
        <f ca="1">IFERROR(__xludf.DUMMYFUNCTION("REGEXEXTRACT($B785, $E$2)"),"nebrwesleyan")</f>
        <v>nebrwesleyan</v>
      </c>
      <c r="E785" s="4"/>
      <c r="F785" s="4"/>
      <c r="G785" s="4"/>
      <c r="H785" s="4"/>
      <c r="I785" s="4"/>
      <c r="J785" s="4"/>
      <c r="K785" s="4"/>
      <c r="L785" s="4"/>
      <c r="M785" s="4"/>
      <c r="N785" s="4"/>
      <c r="O785" s="4"/>
      <c r="P785" s="4"/>
      <c r="Q785" s="4"/>
      <c r="R785" s="4"/>
      <c r="S785" s="4"/>
      <c r="T785" s="4"/>
      <c r="U785" s="4"/>
      <c r="V785" s="4"/>
      <c r="W785" s="4"/>
      <c r="X785" s="4"/>
      <c r="Y785" s="4"/>
      <c r="Z785" s="4"/>
    </row>
    <row r="786" spans="1:26" ht="15.75" customHeight="1" x14ac:dyDescent="0.2">
      <c r="A786" s="1" t="s">
        <v>1565</v>
      </c>
      <c r="B786" s="1" t="s">
        <v>1566</v>
      </c>
      <c r="C786" s="5" t="str">
        <f ca="1">IFERROR(__xludf.DUMMYFUNCTION("REGEXEXTRACT($B786, $E$2)"),"neumann")</f>
        <v>neumann</v>
      </c>
      <c r="E786" s="4"/>
      <c r="F786" s="4"/>
      <c r="G786" s="4"/>
      <c r="H786" s="4"/>
      <c r="I786" s="4"/>
      <c r="J786" s="4"/>
      <c r="K786" s="4"/>
      <c r="L786" s="4"/>
      <c r="M786" s="4"/>
      <c r="N786" s="4"/>
      <c r="O786" s="4"/>
      <c r="P786" s="4"/>
      <c r="Q786" s="4"/>
      <c r="R786" s="4"/>
      <c r="S786" s="4"/>
      <c r="T786" s="4"/>
      <c r="U786" s="4"/>
      <c r="V786" s="4"/>
      <c r="W786" s="4"/>
      <c r="X786" s="4"/>
      <c r="Y786" s="4"/>
      <c r="Z786" s="4"/>
    </row>
    <row r="787" spans="1:26" ht="15.75" customHeight="1" x14ac:dyDescent="0.2">
      <c r="A787" s="1" t="s">
        <v>1567</v>
      </c>
      <c r="B787" s="1" t="s">
        <v>1568</v>
      </c>
      <c r="C787" s="5" t="str">
        <f ca="1">IFERROR(__xludf.DUMMYFUNCTION("REGEXEXTRACT($B787, $E$2)"),"neumont")</f>
        <v>neumont</v>
      </c>
      <c r="E787" s="4"/>
      <c r="F787" s="4"/>
      <c r="G787" s="4"/>
      <c r="H787" s="4"/>
      <c r="I787" s="4"/>
      <c r="J787" s="4"/>
      <c r="K787" s="4"/>
      <c r="L787" s="4"/>
      <c r="M787" s="4"/>
      <c r="N787" s="4"/>
      <c r="O787" s="4"/>
      <c r="P787" s="4"/>
      <c r="Q787" s="4"/>
      <c r="R787" s="4"/>
      <c r="S787" s="4"/>
      <c r="T787" s="4"/>
      <c r="U787" s="4"/>
      <c r="V787" s="4"/>
      <c r="W787" s="4"/>
      <c r="X787" s="4"/>
      <c r="Y787" s="4"/>
      <c r="Z787" s="4"/>
    </row>
    <row r="788" spans="1:26" ht="15.75" customHeight="1" x14ac:dyDescent="0.2">
      <c r="A788" s="1" t="s">
        <v>1569</v>
      </c>
      <c r="B788" s="1" t="s">
        <v>1570</v>
      </c>
      <c r="C788" s="5" t="str">
        <f ca="1">IFERROR(__xludf.DUMMYFUNCTION("REGEXEXTRACT($B788, $E$2)"),"nsc")</f>
        <v>nsc</v>
      </c>
      <c r="E788" s="4"/>
      <c r="F788" s="4"/>
      <c r="G788" s="4"/>
      <c r="H788" s="4"/>
      <c r="I788" s="4"/>
      <c r="J788" s="4"/>
      <c r="K788" s="4"/>
      <c r="L788" s="4"/>
      <c r="M788" s="4"/>
      <c r="N788" s="4"/>
      <c r="O788" s="4"/>
      <c r="P788" s="4"/>
      <c r="Q788" s="4"/>
      <c r="R788" s="4"/>
      <c r="S788" s="4"/>
      <c r="T788" s="4"/>
      <c r="U788" s="4"/>
      <c r="V788" s="4"/>
      <c r="W788" s="4"/>
      <c r="X788" s="4"/>
      <c r="Y788" s="4"/>
      <c r="Z788" s="4"/>
    </row>
    <row r="789" spans="1:26" ht="15.75" customHeight="1" x14ac:dyDescent="0.2">
      <c r="A789" s="1" t="s">
        <v>1571</v>
      </c>
      <c r="B789" s="1" t="s">
        <v>1572</v>
      </c>
      <c r="C789" s="5" t="str">
        <f ca="1">IFERROR(__xludf.DUMMYFUNCTION("REGEXEXTRACT($B789, $E$2)"),"ncf")</f>
        <v>ncf</v>
      </c>
      <c r="E789" s="4"/>
      <c r="F789" s="4"/>
      <c r="G789" s="4"/>
      <c r="H789" s="4"/>
      <c r="I789" s="4"/>
      <c r="J789" s="4"/>
      <c r="K789" s="4"/>
      <c r="L789" s="4"/>
      <c r="M789" s="4"/>
      <c r="N789" s="4"/>
      <c r="O789" s="4"/>
      <c r="P789" s="4"/>
      <c r="Q789" s="4"/>
      <c r="R789" s="4"/>
      <c r="S789" s="4"/>
      <c r="T789" s="4"/>
      <c r="U789" s="4"/>
      <c r="V789" s="4"/>
      <c r="W789" s="4"/>
      <c r="X789" s="4"/>
      <c r="Y789" s="4"/>
      <c r="Z789" s="4"/>
    </row>
    <row r="790" spans="1:26" ht="15.75" customHeight="1" x14ac:dyDescent="0.2">
      <c r="A790" s="1" t="s">
        <v>1573</v>
      </c>
      <c r="B790" s="1" t="s">
        <v>1574</v>
      </c>
      <c r="C790" s="5" t="str">
        <f ca="1">IFERROR(__xludf.DUMMYFUNCTION("REGEXEXTRACT($B790, $E$2)"),"nec")</f>
        <v>nec</v>
      </c>
      <c r="E790" s="4"/>
      <c r="F790" s="4"/>
      <c r="G790" s="4"/>
      <c r="H790" s="4"/>
      <c r="I790" s="4"/>
      <c r="J790" s="4"/>
      <c r="K790" s="4"/>
      <c r="L790" s="4"/>
      <c r="M790" s="4"/>
      <c r="N790" s="4"/>
      <c r="O790" s="4"/>
      <c r="P790" s="4"/>
      <c r="Q790" s="4"/>
      <c r="R790" s="4"/>
      <c r="S790" s="4"/>
      <c r="T790" s="4"/>
      <c r="U790" s="4"/>
      <c r="V790" s="4"/>
      <c r="W790" s="4"/>
      <c r="X790" s="4"/>
      <c r="Y790" s="4"/>
      <c r="Z790" s="4"/>
    </row>
    <row r="791" spans="1:26" ht="15.75" customHeight="1" x14ac:dyDescent="0.2">
      <c r="A791" s="1" t="s">
        <v>1575</v>
      </c>
      <c r="B791" s="1" t="s">
        <v>1576</v>
      </c>
      <c r="C791" s="5" t="str">
        <f ca="1">IFERROR(__xludf.DUMMYFUNCTION("REGEXEXTRACT($B791, $E$2)"),"necmusic")</f>
        <v>necmusic</v>
      </c>
      <c r="E791" s="4"/>
      <c r="F791" s="4"/>
      <c r="G791" s="4"/>
      <c r="H791" s="4"/>
      <c r="I791" s="4"/>
      <c r="J791" s="4"/>
      <c r="K791" s="4"/>
      <c r="L791" s="4"/>
      <c r="M791" s="4"/>
      <c r="N791" s="4"/>
      <c r="O791" s="4"/>
      <c r="P791" s="4"/>
      <c r="Q791" s="4"/>
      <c r="R791" s="4"/>
      <c r="S791" s="4"/>
      <c r="T791" s="4"/>
      <c r="U791" s="4"/>
      <c r="V791" s="4"/>
      <c r="W791" s="4"/>
      <c r="X791" s="4"/>
      <c r="Y791" s="4"/>
      <c r="Z791" s="4"/>
    </row>
    <row r="792" spans="1:26" ht="15.75" customHeight="1" x14ac:dyDescent="0.2">
      <c r="A792" s="1" t="s">
        <v>1577</v>
      </c>
      <c r="B792" s="1" t="s">
        <v>1578</v>
      </c>
      <c r="C792" s="5" t="str">
        <f ca="1">IFERROR(__xludf.DUMMYFUNCTION("REGEXEXTRACT($B792, $E$2)"),"neit")</f>
        <v>neit</v>
      </c>
      <c r="E792" s="4"/>
      <c r="F792" s="4"/>
      <c r="G792" s="4"/>
      <c r="H792" s="4"/>
      <c r="I792" s="4"/>
      <c r="J792" s="4"/>
      <c r="K792" s="4"/>
      <c r="L792" s="4"/>
      <c r="M792" s="4"/>
      <c r="N792" s="4"/>
      <c r="O792" s="4"/>
      <c r="P792" s="4"/>
      <c r="Q792" s="4"/>
      <c r="R792" s="4"/>
      <c r="S792" s="4"/>
      <c r="T792" s="4"/>
      <c r="U792" s="4"/>
      <c r="V792" s="4"/>
      <c r="W792" s="4"/>
      <c r="X792" s="4"/>
      <c r="Y792" s="4"/>
      <c r="Z792" s="4"/>
    </row>
    <row r="793" spans="1:26" ht="15.75" customHeight="1" x14ac:dyDescent="0.2">
      <c r="A793" s="1" t="s">
        <v>1579</v>
      </c>
      <c r="B793" s="1" t="s">
        <v>1580</v>
      </c>
      <c r="C793" s="5" t="str">
        <f ca="1">IFERROR(__xludf.DUMMYFUNCTION("REGEXEXTRACT($B793, $E$2)"),"nhia")</f>
        <v>nhia</v>
      </c>
      <c r="E793" s="4"/>
      <c r="F793" s="4"/>
      <c r="G793" s="4"/>
      <c r="H793" s="4"/>
      <c r="I793" s="4"/>
      <c r="J793" s="4"/>
      <c r="K793" s="4"/>
      <c r="L793" s="4"/>
      <c r="M793" s="4"/>
      <c r="N793" s="4"/>
      <c r="O793" s="4"/>
      <c r="P793" s="4"/>
      <c r="Q793" s="4"/>
      <c r="R793" s="4"/>
      <c r="S793" s="4"/>
      <c r="T793" s="4"/>
      <c r="U793" s="4"/>
      <c r="V793" s="4"/>
      <c r="W793" s="4"/>
      <c r="X793" s="4"/>
      <c r="Y793" s="4"/>
      <c r="Z793" s="4"/>
    </row>
    <row r="794" spans="1:26" ht="15.75" customHeight="1" x14ac:dyDescent="0.2">
      <c r="A794" s="1" t="s">
        <v>1581</v>
      </c>
      <c r="B794" s="1" t="s">
        <v>1582</v>
      </c>
      <c r="C794" s="5" t="str">
        <f ca="1">IFERROR(__xludf.DUMMYFUNCTION("REGEXEXTRACT($B794, $E$2)"),"newhope")</f>
        <v>newhope</v>
      </c>
      <c r="E794" s="4"/>
      <c r="F794" s="4"/>
      <c r="G794" s="4"/>
      <c r="H794" s="4"/>
      <c r="I794" s="4"/>
      <c r="J794" s="4"/>
      <c r="K794" s="4"/>
      <c r="L794" s="4"/>
      <c r="M794" s="4"/>
      <c r="N794" s="4"/>
      <c r="O794" s="4"/>
      <c r="P794" s="4"/>
      <c r="Q794" s="4"/>
      <c r="R794" s="4"/>
      <c r="S794" s="4"/>
      <c r="T794" s="4"/>
      <c r="U794" s="4"/>
      <c r="V794" s="4"/>
      <c r="W794" s="4"/>
      <c r="X794" s="4"/>
      <c r="Y794" s="4"/>
      <c r="Z794" s="4"/>
    </row>
    <row r="795" spans="1:26" ht="15.75" customHeight="1" x14ac:dyDescent="0.2">
      <c r="A795" s="1" t="s">
        <v>1583</v>
      </c>
      <c r="B795" s="1" t="s">
        <v>1584</v>
      </c>
      <c r="C795" s="5" t="str">
        <f ca="1">IFERROR(__xludf.DUMMYFUNCTION("REGEXEXTRACT($B795, $E$2)"),"njcu")</f>
        <v>njcu</v>
      </c>
      <c r="E795" s="4"/>
      <c r="F795" s="4"/>
      <c r="G795" s="4"/>
      <c r="H795" s="4"/>
      <c r="I795" s="4"/>
      <c r="J795" s="4"/>
      <c r="K795" s="4"/>
      <c r="L795" s="4"/>
      <c r="M795" s="4"/>
      <c r="N795" s="4"/>
      <c r="O795" s="4"/>
      <c r="P795" s="4"/>
      <c r="Q795" s="4"/>
      <c r="R795" s="4"/>
      <c r="S795" s="4"/>
      <c r="T795" s="4"/>
      <c r="U795" s="4"/>
      <c r="V795" s="4"/>
      <c r="W795" s="4"/>
      <c r="X795" s="4"/>
      <c r="Y795" s="4"/>
      <c r="Z795" s="4"/>
    </row>
    <row r="796" spans="1:26" ht="15.75" customHeight="1" x14ac:dyDescent="0.2">
      <c r="A796" s="1" t="s">
        <v>1585</v>
      </c>
      <c r="B796" s="1" t="s">
        <v>1586</v>
      </c>
      <c r="C796" s="5" t="str">
        <f ca="1">IFERROR(__xludf.DUMMYFUNCTION("REGEXEXTRACT($B796, $E$2)"),"njit")</f>
        <v>njit</v>
      </c>
      <c r="E796" s="4"/>
      <c r="F796" s="4"/>
      <c r="G796" s="4"/>
      <c r="H796" s="4"/>
      <c r="I796" s="4"/>
      <c r="J796" s="4"/>
      <c r="K796" s="4"/>
      <c r="L796" s="4"/>
      <c r="M796" s="4"/>
      <c r="N796" s="4"/>
      <c r="O796" s="4"/>
      <c r="P796" s="4"/>
      <c r="Q796" s="4"/>
      <c r="R796" s="4"/>
      <c r="S796" s="4"/>
      <c r="T796" s="4"/>
      <c r="U796" s="4"/>
      <c r="V796" s="4"/>
      <c r="W796" s="4"/>
      <c r="X796" s="4"/>
      <c r="Y796" s="4"/>
      <c r="Z796" s="4"/>
    </row>
    <row r="797" spans="1:26" ht="15.75" customHeight="1" x14ac:dyDescent="0.2">
      <c r="A797" s="1" t="s">
        <v>1587</v>
      </c>
      <c r="B797" s="1" t="s">
        <v>1588</v>
      </c>
      <c r="C797" s="5" t="str">
        <f ca="1">IFERROR(__xludf.DUMMYFUNCTION("REGEXEXTRACT($B797, $E$2)"),"nmhu")</f>
        <v>nmhu</v>
      </c>
      <c r="E797" s="4"/>
      <c r="F797" s="4"/>
      <c r="G797" s="4"/>
      <c r="H797" s="4"/>
      <c r="I797" s="4"/>
      <c r="J797" s="4"/>
      <c r="K797" s="4"/>
      <c r="L797" s="4"/>
      <c r="M797" s="4"/>
      <c r="N797" s="4"/>
      <c r="O797" s="4"/>
      <c r="P797" s="4"/>
      <c r="Q797" s="4"/>
      <c r="R797" s="4"/>
      <c r="S797" s="4"/>
      <c r="T797" s="4"/>
      <c r="U797" s="4"/>
      <c r="V797" s="4"/>
      <c r="W797" s="4"/>
      <c r="X797" s="4"/>
      <c r="Y797" s="4"/>
      <c r="Z797" s="4"/>
    </row>
    <row r="798" spans="1:26" ht="15.75" customHeight="1" x14ac:dyDescent="0.2">
      <c r="A798" s="1" t="s">
        <v>1589</v>
      </c>
      <c r="B798" s="1" t="s">
        <v>1590</v>
      </c>
      <c r="C798" s="5" t="str">
        <f ca="1">IFERROR(__xludf.DUMMYFUNCTION("REGEXEXTRACT($B798, $E$2)"),"nmt")</f>
        <v>nmt</v>
      </c>
      <c r="E798" s="4"/>
      <c r="F798" s="4"/>
      <c r="G798" s="4"/>
      <c r="H798" s="4"/>
      <c r="I798" s="4"/>
      <c r="J798" s="4"/>
      <c r="K798" s="4"/>
      <c r="L798" s="4"/>
      <c r="M798" s="4"/>
      <c r="N798" s="4"/>
      <c r="O798" s="4"/>
      <c r="P798" s="4"/>
      <c r="Q798" s="4"/>
      <c r="R798" s="4"/>
      <c r="S798" s="4"/>
      <c r="T798" s="4"/>
      <c r="U798" s="4"/>
      <c r="V798" s="4"/>
      <c r="W798" s="4"/>
      <c r="X798" s="4"/>
      <c r="Y798" s="4"/>
      <c r="Z798" s="4"/>
    </row>
    <row r="799" spans="1:26" ht="15.75" customHeight="1" x14ac:dyDescent="0.2">
      <c r="A799" s="1" t="s">
        <v>1591</v>
      </c>
      <c r="B799" s="1" t="s">
        <v>1592</v>
      </c>
      <c r="C799" s="5" t="str">
        <f ca="1">IFERROR(__xludf.DUMMYFUNCTION("REGEXEXTRACT($B799, $E$2)"),"nmsu")</f>
        <v>nmsu</v>
      </c>
      <c r="E799" s="4"/>
      <c r="F799" s="4"/>
      <c r="G799" s="4"/>
      <c r="H799" s="4"/>
      <c r="I799" s="4"/>
      <c r="J799" s="4"/>
      <c r="K799" s="4"/>
      <c r="L799" s="4"/>
      <c r="M799" s="4"/>
      <c r="N799" s="4"/>
      <c r="O799" s="4"/>
      <c r="P799" s="4"/>
      <c r="Q799" s="4"/>
      <c r="R799" s="4"/>
      <c r="S799" s="4"/>
      <c r="T799" s="4"/>
      <c r="U799" s="4"/>
      <c r="V799" s="4"/>
      <c r="W799" s="4"/>
      <c r="X799" s="4"/>
      <c r="Y799" s="4"/>
      <c r="Z799" s="4"/>
    </row>
    <row r="800" spans="1:26" ht="15.75" customHeight="1" x14ac:dyDescent="0.2">
      <c r="A800" s="1" t="s">
        <v>1593</v>
      </c>
      <c r="B800" s="1" t="s">
        <v>1594</v>
      </c>
      <c r="C800" s="5" t="str">
        <f ca="1">IFERROR(__xludf.DUMMYFUNCTION("REGEXEXTRACT($B800, $E$2)"),"newschoolarch")</f>
        <v>newschoolarch</v>
      </c>
      <c r="E800" s="4"/>
      <c r="F800" s="4"/>
      <c r="G800" s="4"/>
      <c r="H800" s="4"/>
      <c r="I800" s="4"/>
      <c r="J800" s="4"/>
      <c r="K800" s="4"/>
      <c r="L800" s="4"/>
      <c r="M800" s="4"/>
      <c r="N800" s="4"/>
      <c r="O800" s="4"/>
      <c r="P800" s="4"/>
      <c r="Q800" s="4"/>
      <c r="R800" s="4"/>
      <c r="S800" s="4"/>
      <c r="T800" s="4"/>
      <c r="U800" s="4"/>
      <c r="V800" s="4"/>
      <c r="W800" s="4"/>
      <c r="X800" s="4"/>
      <c r="Y800" s="4"/>
      <c r="Z800" s="4"/>
    </row>
    <row r="801" spans="1:26" ht="15.75" customHeight="1" x14ac:dyDescent="0.2">
      <c r="A801" s="1" t="s">
        <v>1595</v>
      </c>
      <c r="B801" s="1" t="s">
        <v>1596</v>
      </c>
      <c r="C801" s="5" t="str">
        <f ca="1">IFERROR(__xludf.DUMMYFUNCTION("REGEXEXTRACT($B801, $E$2)"),"nyit")</f>
        <v>nyit</v>
      </c>
      <c r="E801" s="4"/>
      <c r="F801" s="4"/>
      <c r="G801" s="4"/>
      <c r="H801" s="4"/>
      <c r="I801" s="4"/>
      <c r="J801" s="4"/>
      <c r="K801" s="4"/>
      <c r="L801" s="4"/>
      <c r="M801" s="4"/>
      <c r="N801" s="4"/>
      <c r="O801" s="4"/>
      <c r="P801" s="4"/>
      <c r="Q801" s="4"/>
      <c r="R801" s="4"/>
      <c r="S801" s="4"/>
      <c r="T801" s="4"/>
      <c r="U801" s="4"/>
      <c r="V801" s="4"/>
      <c r="W801" s="4"/>
      <c r="X801" s="4"/>
      <c r="Y801" s="4"/>
      <c r="Z801" s="4"/>
    </row>
    <row r="802" spans="1:26" ht="15.75" customHeight="1" x14ac:dyDescent="0.2">
      <c r="A802" s="1" t="s">
        <v>1597</v>
      </c>
      <c r="B802" s="1" t="s">
        <v>1598</v>
      </c>
      <c r="C802" s="5" t="str">
        <f ca="1">IFERROR(__xludf.DUMMYFUNCTION("REGEXEXTRACT($B802, $E$2)"),"nysid")</f>
        <v>nysid</v>
      </c>
      <c r="E802" s="4"/>
      <c r="F802" s="4"/>
      <c r="G802" s="4"/>
      <c r="H802" s="4"/>
      <c r="I802" s="4"/>
      <c r="J802" s="4"/>
      <c r="K802" s="4"/>
      <c r="L802" s="4"/>
      <c r="M802" s="4"/>
      <c r="N802" s="4"/>
      <c r="O802" s="4"/>
      <c r="P802" s="4"/>
      <c r="Q802" s="4"/>
      <c r="R802" s="4"/>
      <c r="S802" s="4"/>
      <c r="T802" s="4"/>
      <c r="U802" s="4"/>
      <c r="V802" s="4"/>
      <c r="W802" s="4"/>
      <c r="X802" s="4"/>
      <c r="Y802" s="4"/>
      <c r="Z802" s="4"/>
    </row>
    <row r="803" spans="1:26" ht="15.75" customHeight="1" x14ac:dyDescent="0.2">
      <c r="A803" s="1" t="s">
        <v>1599</v>
      </c>
      <c r="B803" s="1" t="s">
        <v>1600</v>
      </c>
      <c r="C803" s="5" t="str">
        <f ca="1">IFERROR(__xludf.DUMMYFUNCTION("REGEXEXTRACT($B803, $E$2)"),"nyu")</f>
        <v>nyu</v>
      </c>
      <c r="E803" s="4"/>
      <c r="F803" s="4"/>
      <c r="G803" s="4"/>
      <c r="H803" s="4"/>
      <c r="I803" s="4"/>
      <c r="J803" s="4"/>
      <c r="K803" s="4"/>
      <c r="L803" s="4"/>
      <c r="M803" s="4"/>
      <c r="N803" s="4"/>
      <c r="O803" s="4"/>
      <c r="P803" s="4"/>
      <c r="Q803" s="4"/>
      <c r="R803" s="4"/>
      <c r="S803" s="4"/>
      <c r="T803" s="4"/>
      <c r="U803" s="4"/>
      <c r="V803" s="4"/>
      <c r="W803" s="4"/>
      <c r="X803" s="4"/>
      <c r="Y803" s="4"/>
      <c r="Z803" s="4"/>
    </row>
    <row r="804" spans="1:26" ht="15.75" customHeight="1" x14ac:dyDescent="0.2">
      <c r="A804" s="1" t="s">
        <v>1601</v>
      </c>
      <c r="B804" s="1" t="s">
        <v>1602</v>
      </c>
      <c r="C804" s="5" t="str">
        <f ca="1">IFERROR(__xludf.DUMMYFUNCTION("REGEXEXTRACT($B804, $E$2)"),"newberry")</f>
        <v>newberry</v>
      </c>
      <c r="E804" s="4"/>
      <c r="F804" s="4"/>
      <c r="G804" s="4"/>
      <c r="H804" s="4"/>
      <c r="I804" s="4"/>
      <c r="J804" s="4"/>
      <c r="K804" s="4"/>
      <c r="L804" s="4"/>
      <c r="M804" s="4"/>
      <c r="N804" s="4"/>
      <c r="O804" s="4"/>
      <c r="P804" s="4"/>
      <c r="Q804" s="4"/>
      <c r="R804" s="4"/>
      <c r="S804" s="4"/>
      <c r="T804" s="4"/>
      <c r="U804" s="4"/>
      <c r="V804" s="4"/>
      <c r="W804" s="4"/>
      <c r="X804" s="4"/>
      <c r="Y804" s="4"/>
      <c r="Z804" s="4"/>
    </row>
    <row r="805" spans="1:26" ht="15.75" customHeight="1" x14ac:dyDescent="0.2">
      <c r="A805" s="1" t="s">
        <v>1603</v>
      </c>
      <c r="B805" s="1" t="s">
        <v>1604</v>
      </c>
      <c r="C805" s="5" t="str">
        <f ca="1">IFERROR(__xludf.DUMMYFUNCTION("REGEXEXTRACT($B805, $E$2)"),"newbury")</f>
        <v>newbury</v>
      </c>
      <c r="E805" s="4"/>
      <c r="F805" s="4"/>
      <c r="G805" s="4"/>
      <c r="H805" s="4"/>
      <c r="I805" s="4"/>
      <c r="J805" s="4"/>
      <c r="K805" s="4"/>
      <c r="L805" s="4"/>
      <c r="M805" s="4"/>
      <c r="N805" s="4"/>
      <c r="O805" s="4"/>
      <c r="P805" s="4"/>
      <c r="Q805" s="4"/>
      <c r="R805" s="4"/>
      <c r="S805" s="4"/>
      <c r="T805" s="4"/>
      <c r="U805" s="4"/>
      <c r="V805" s="4"/>
      <c r="W805" s="4"/>
      <c r="X805" s="4"/>
      <c r="Y805" s="4"/>
      <c r="Z805" s="4"/>
    </row>
    <row r="806" spans="1:26" ht="15.75" customHeight="1" x14ac:dyDescent="0.2">
      <c r="A806" s="1" t="s">
        <v>1605</v>
      </c>
      <c r="B806" s="1" t="s">
        <v>1606</v>
      </c>
      <c r="C806" s="5" t="str">
        <f ca="1">IFERROR(__xludf.DUMMYFUNCTION("REGEXEXTRACT($B806, $E$2)"),"newmanu")</f>
        <v>newmanu</v>
      </c>
      <c r="E806" s="4"/>
      <c r="F806" s="4"/>
      <c r="G806" s="4"/>
      <c r="H806" s="4"/>
      <c r="I806" s="4"/>
      <c r="J806" s="4"/>
      <c r="K806" s="4"/>
      <c r="L806" s="4"/>
      <c r="M806" s="4"/>
      <c r="N806" s="4"/>
      <c r="O806" s="4"/>
      <c r="P806" s="4"/>
      <c r="Q806" s="4"/>
      <c r="R806" s="4"/>
      <c r="S806" s="4"/>
      <c r="T806" s="4"/>
      <c r="U806" s="4"/>
      <c r="V806" s="4"/>
      <c r="W806" s="4"/>
      <c r="X806" s="4"/>
      <c r="Y806" s="4"/>
      <c r="Z806" s="4"/>
    </row>
    <row r="807" spans="1:26" ht="15.75" customHeight="1" x14ac:dyDescent="0.2">
      <c r="A807" s="1" t="s">
        <v>1607</v>
      </c>
      <c r="B807" s="1" t="s">
        <v>1608</v>
      </c>
      <c r="C807" s="5" t="str">
        <f ca="1">IFERROR(__xludf.DUMMYFUNCTION("REGEXEXTRACT($B807, $E$2)"),"niagara")</f>
        <v>niagara</v>
      </c>
      <c r="E807" s="4"/>
      <c r="F807" s="4"/>
      <c r="G807" s="4"/>
      <c r="H807" s="4"/>
      <c r="I807" s="4"/>
      <c r="J807" s="4"/>
      <c r="K807" s="4"/>
      <c r="L807" s="4"/>
      <c r="M807" s="4"/>
      <c r="N807" s="4"/>
      <c r="O807" s="4"/>
      <c r="P807" s="4"/>
      <c r="Q807" s="4"/>
      <c r="R807" s="4"/>
      <c r="S807" s="4"/>
      <c r="T807" s="4"/>
      <c r="U807" s="4"/>
      <c r="V807" s="4"/>
      <c r="W807" s="4"/>
      <c r="X807" s="4"/>
      <c r="Y807" s="4"/>
      <c r="Z807" s="4"/>
    </row>
    <row r="808" spans="1:26" ht="15.75" customHeight="1" x14ac:dyDescent="0.2">
      <c r="A808" s="1" t="s">
        <v>1609</v>
      </c>
      <c r="B808" s="1" t="s">
        <v>1610</v>
      </c>
      <c r="C808" s="5" t="str">
        <f ca="1">IFERROR(__xludf.DUMMYFUNCTION("REGEXEXTRACT($B808, $E$2)"),"nicholls")</f>
        <v>nicholls</v>
      </c>
      <c r="E808" s="4"/>
      <c r="F808" s="4"/>
      <c r="G808" s="4"/>
      <c r="H808" s="4"/>
      <c r="I808" s="4"/>
      <c r="J808" s="4"/>
      <c r="K808" s="4"/>
      <c r="L808" s="4"/>
      <c r="M808" s="4"/>
      <c r="N808" s="4"/>
      <c r="O808" s="4"/>
      <c r="P808" s="4"/>
      <c r="Q808" s="4"/>
      <c r="R808" s="4"/>
      <c r="S808" s="4"/>
      <c r="T808" s="4"/>
      <c r="U808" s="4"/>
      <c r="V808" s="4"/>
      <c r="W808" s="4"/>
      <c r="X808" s="4"/>
      <c r="Y808" s="4"/>
      <c r="Z808" s="4"/>
    </row>
    <row r="809" spans="1:26" ht="15.75" customHeight="1" x14ac:dyDescent="0.2">
      <c r="A809" s="1" t="s">
        <v>1611</v>
      </c>
      <c r="B809" s="1" t="s">
        <v>1612</v>
      </c>
      <c r="C809" s="5" t="str">
        <f ca="1">IFERROR(__xludf.DUMMYFUNCTION("REGEXEXTRACT($B809, $E$2)"),"nichols")</f>
        <v>nichols</v>
      </c>
      <c r="E809" s="4"/>
      <c r="F809" s="4"/>
      <c r="G809" s="4"/>
      <c r="H809" s="4"/>
      <c r="I809" s="4"/>
      <c r="J809" s="4"/>
      <c r="K809" s="4"/>
      <c r="L809" s="4"/>
      <c r="M809" s="4"/>
      <c r="N809" s="4"/>
      <c r="O809" s="4"/>
      <c r="P809" s="4"/>
      <c r="Q809" s="4"/>
      <c r="R809" s="4"/>
      <c r="S809" s="4"/>
      <c r="T809" s="4"/>
      <c r="U809" s="4"/>
      <c r="V809" s="4"/>
      <c r="W809" s="4"/>
      <c r="X809" s="4"/>
      <c r="Y809" s="4"/>
      <c r="Z809" s="4"/>
    </row>
    <row r="810" spans="1:26" ht="15.75" customHeight="1" x14ac:dyDescent="0.2">
      <c r="A810" s="1" t="s">
        <v>1613</v>
      </c>
      <c r="B810" s="1" t="s">
        <v>1614</v>
      </c>
      <c r="C810" s="5" t="str">
        <f ca="1">IFERROR(__xludf.DUMMYFUNCTION("REGEXEXTRACT($B810, $E$2)"),"nsu")</f>
        <v>nsu</v>
      </c>
      <c r="E810" s="4"/>
      <c r="F810" s="4"/>
      <c r="G810" s="4"/>
      <c r="H810" s="4"/>
      <c r="I810" s="4"/>
      <c r="J810" s="4"/>
      <c r="K810" s="4"/>
      <c r="L810" s="4"/>
      <c r="M810" s="4"/>
      <c r="N810" s="4"/>
      <c r="O810" s="4"/>
      <c r="P810" s="4"/>
      <c r="Q810" s="4"/>
      <c r="R810" s="4"/>
      <c r="S810" s="4"/>
      <c r="T810" s="4"/>
      <c r="U810" s="4"/>
      <c r="V810" s="4"/>
      <c r="W810" s="4"/>
      <c r="X810" s="4"/>
      <c r="Y810" s="4"/>
      <c r="Z810" s="4"/>
    </row>
    <row r="811" spans="1:26" ht="15.75" customHeight="1" x14ac:dyDescent="0.2">
      <c r="A811" s="1" t="s">
        <v>1615</v>
      </c>
      <c r="B811" s="1" t="s">
        <v>1616</v>
      </c>
      <c r="C811" s="5" t="str">
        <f ca="1">IFERROR(__xludf.DUMMYFUNCTION("REGEXEXTRACT($B811, $E$2)"),"nccu")</f>
        <v>nccu</v>
      </c>
      <c r="E811" s="4"/>
      <c r="F811" s="4"/>
      <c r="G811" s="4"/>
      <c r="H811" s="4"/>
      <c r="I811" s="4"/>
      <c r="J811" s="4"/>
      <c r="K811" s="4"/>
      <c r="L811" s="4"/>
      <c r="M811" s="4"/>
      <c r="N811" s="4"/>
      <c r="O811" s="4"/>
      <c r="P811" s="4"/>
      <c r="Q811" s="4"/>
      <c r="R811" s="4"/>
      <c r="S811" s="4"/>
      <c r="T811" s="4"/>
      <c r="U811" s="4"/>
      <c r="V811" s="4"/>
      <c r="W811" s="4"/>
      <c r="X811" s="4"/>
      <c r="Y811" s="4"/>
      <c r="Z811" s="4"/>
    </row>
    <row r="812" spans="1:26" ht="15.75" customHeight="1" x14ac:dyDescent="0.2">
      <c r="A812" s="1" t="s">
        <v>1617</v>
      </c>
      <c r="B812" s="1" t="s">
        <v>1618</v>
      </c>
      <c r="C812" s="5" t="str">
        <f ca="1">IFERROR(__xludf.DUMMYFUNCTION("REGEXEXTRACT($B812, $E$2)"),"ncsu")</f>
        <v>ncsu</v>
      </c>
      <c r="E812" s="4"/>
      <c r="F812" s="4"/>
      <c r="G812" s="4"/>
      <c r="H812" s="4"/>
      <c r="I812" s="4"/>
      <c r="J812" s="4"/>
      <c r="K812" s="4"/>
      <c r="L812" s="4"/>
      <c r="M812" s="4"/>
      <c r="N812" s="4"/>
      <c r="O812" s="4"/>
      <c r="P812" s="4"/>
      <c r="Q812" s="4"/>
      <c r="R812" s="4"/>
      <c r="S812" s="4"/>
      <c r="T812" s="4"/>
      <c r="U812" s="4"/>
      <c r="V812" s="4"/>
      <c r="W812" s="4"/>
      <c r="X812" s="4"/>
      <c r="Y812" s="4"/>
      <c r="Z812" s="4"/>
    </row>
    <row r="813" spans="1:26" ht="15.75" customHeight="1" x14ac:dyDescent="0.2">
      <c r="A813" s="1" t="s">
        <v>1617</v>
      </c>
      <c r="B813" s="1" t="s">
        <v>1619</v>
      </c>
      <c r="C813" s="5" t="str">
        <f ca="1">IFERROR(__xludf.DUMMYFUNCTION("REGEXEXTRACT($B813, $E$2)"),"ncat")</f>
        <v>ncat</v>
      </c>
      <c r="E813" s="4"/>
      <c r="F813" s="4"/>
      <c r="G813" s="4"/>
      <c r="H813" s="4"/>
      <c r="I813" s="4"/>
      <c r="J813" s="4"/>
      <c r="K813" s="4"/>
      <c r="L813" s="4"/>
      <c r="M813" s="4"/>
      <c r="N813" s="4"/>
      <c r="O813" s="4"/>
      <c r="P813" s="4"/>
      <c r="Q813" s="4"/>
      <c r="R813" s="4"/>
      <c r="S813" s="4"/>
      <c r="T813" s="4"/>
      <c r="U813" s="4"/>
      <c r="V813" s="4"/>
      <c r="W813" s="4"/>
      <c r="X813" s="4"/>
      <c r="Y813" s="4"/>
      <c r="Z813" s="4"/>
    </row>
    <row r="814" spans="1:26" ht="15.75" customHeight="1" x14ac:dyDescent="0.2">
      <c r="A814" s="1" t="s">
        <v>1620</v>
      </c>
      <c r="B814" s="1" t="s">
        <v>1621</v>
      </c>
      <c r="C814" s="5" t="str">
        <f ca="1">IFERROR(__xludf.DUMMYFUNCTION("REGEXEXTRACT($B814, $E$2)"),"ncwc")</f>
        <v>ncwc</v>
      </c>
      <c r="E814" s="4"/>
      <c r="F814" s="4"/>
      <c r="G814" s="4"/>
      <c r="H814" s="4"/>
      <c r="I814" s="4"/>
      <c r="J814" s="4"/>
      <c r="K814" s="4"/>
      <c r="L814" s="4"/>
      <c r="M814" s="4"/>
      <c r="N814" s="4"/>
      <c r="O814" s="4"/>
      <c r="P814" s="4"/>
      <c r="Q814" s="4"/>
      <c r="R814" s="4"/>
      <c r="S814" s="4"/>
      <c r="T814" s="4"/>
      <c r="U814" s="4"/>
      <c r="V814" s="4"/>
      <c r="W814" s="4"/>
      <c r="X814" s="4"/>
      <c r="Y814" s="4"/>
      <c r="Z814" s="4"/>
    </row>
    <row r="815" spans="1:26" ht="15.75" customHeight="1" x14ac:dyDescent="0.2">
      <c r="A815" s="1" t="s">
        <v>1622</v>
      </c>
      <c r="B815" s="1" t="s">
        <v>1623</v>
      </c>
      <c r="C815" s="5" t="str">
        <f ca="1">IFERROR(__xludf.DUMMYFUNCTION("REGEXEXTRACT($B815, $E$2)"),"noctrl")</f>
        <v>noctrl</v>
      </c>
      <c r="E815" s="4"/>
      <c r="F815" s="4"/>
      <c r="G815" s="4"/>
      <c r="H815" s="4"/>
      <c r="I815" s="4"/>
      <c r="J815" s="4"/>
      <c r="K815" s="4"/>
      <c r="L815" s="4"/>
      <c r="M815" s="4"/>
      <c r="N815" s="4"/>
      <c r="O815" s="4"/>
      <c r="P815" s="4"/>
      <c r="Q815" s="4"/>
      <c r="R815" s="4"/>
      <c r="S815" s="4"/>
      <c r="T815" s="4"/>
      <c r="U815" s="4"/>
      <c r="V815" s="4"/>
      <c r="W815" s="4"/>
      <c r="X815" s="4"/>
      <c r="Y815" s="4"/>
      <c r="Z815" s="4"/>
    </row>
    <row r="816" spans="1:26" ht="15.75" customHeight="1" x14ac:dyDescent="0.2">
      <c r="A816" s="1" t="s">
        <v>1624</v>
      </c>
      <c r="B816" s="1" t="s">
        <v>1625</v>
      </c>
      <c r="C816" s="5" t="str">
        <f ca="1">IFERROR(__xludf.DUMMYFUNCTION("REGEXEXTRACT($B816, $E$2)"),"northcentral")</f>
        <v>northcentral</v>
      </c>
      <c r="E816" s="4"/>
      <c r="F816" s="4"/>
      <c r="G816" s="4"/>
      <c r="H816" s="4"/>
      <c r="I816" s="4"/>
      <c r="J816" s="4"/>
      <c r="K816" s="4"/>
      <c r="L816" s="4"/>
      <c r="M816" s="4"/>
      <c r="N816" s="4"/>
      <c r="O816" s="4"/>
      <c r="P816" s="4"/>
      <c r="Q816" s="4"/>
      <c r="R816" s="4"/>
      <c r="S816" s="4"/>
      <c r="T816" s="4"/>
      <c r="U816" s="4"/>
      <c r="V816" s="4"/>
      <c r="W816" s="4"/>
      <c r="X816" s="4"/>
      <c r="Y816" s="4"/>
      <c r="Z816" s="4"/>
    </row>
    <row r="817" spans="1:26" ht="15.75" customHeight="1" x14ac:dyDescent="0.2">
      <c r="A817" s="1" t="s">
        <v>1626</v>
      </c>
      <c r="B817" s="1" t="s">
        <v>1627</v>
      </c>
      <c r="C817" s="5" t="str">
        <f ca="1">IFERROR(__xludf.DUMMYFUNCTION("REGEXEXTRACT($B817, $E$2)"),"ndsu")</f>
        <v>ndsu</v>
      </c>
      <c r="E817" s="4"/>
      <c r="F817" s="4"/>
      <c r="G817" s="4"/>
      <c r="H817" s="4"/>
      <c r="I817" s="4"/>
      <c r="J817" s="4"/>
      <c r="K817" s="4"/>
      <c r="L817" s="4"/>
      <c r="M817" s="4"/>
      <c r="N817" s="4"/>
      <c r="O817" s="4"/>
      <c r="P817" s="4"/>
      <c r="Q817" s="4"/>
      <c r="R817" s="4"/>
      <c r="S817" s="4"/>
      <c r="T817" s="4"/>
      <c r="U817" s="4"/>
      <c r="V817" s="4"/>
      <c r="W817" s="4"/>
      <c r="X817" s="4"/>
      <c r="Y817" s="4"/>
      <c r="Z817" s="4"/>
    </row>
    <row r="818" spans="1:26" ht="15.75" customHeight="1" x14ac:dyDescent="0.2">
      <c r="A818" s="1" t="s">
        <v>1628</v>
      </c>
      <c r="B818" s="1" t="s">
        <v>1629</v>
      </c>
      <c r="C818" s="5" t="str">
        <f ca="1">IFERROR(__xludf.DUMMYFUNCTION("REGEXEXTRACT($B818, $E$2)"),"ngu")</f>
        <v>ngu</v>
      </c>
      <c r="E818" s="4"/>
      <c r="F818" s="4"/>
      <c r="G818" s="4"/>
      <c r="H818" s="4"/>
      <c r="I818" s="4"/>
      <c r="J818" s="4"/>
      <c r="K818" s="4"/>
      <c r="L818" s="4"/>
      <c r="M818" s="4"/>
      <c r="N818" s="4"/>
      <c r="O818" s="4"/>
      <c r="P818" s="4"/>
      <c r="Q818" s="4"/>
      <c r="R818" s="4"/>
      <c r="S818" s="4"/>
      <c r="T818" s="4"/>
      <c r="U818" s="4"/>
      <c r="V818" s="4"/>
      <c r="W818" s="4"/>
      <c r="X818" s="4"/>
      <c r="Y818" s="4"/>
      <c r="Z818" s="4"/>
    </row>
    <row r="819" spans="1:26" ht="15.75" customHeight="1" x14ac:dyDescent="0.2">
      <c r="A819" s="1" t="s">
        <v>1630</v>
      </c>
      <c r="B819" s="1" t="s">
        <v>1631</v>
      </c>
      <c r="C819" s="5" t="str">
        <f ca="1">IFERROR(__xludf.DUMMYFUNCTION("REGEXEXTRACT($B819, $E$2)"),"northpark")</f>
        <v>northpark</v>
      </c>
      <c r="E819" s="4"/>
      <c r="F819" s="4"/>
      <c r="G819" s="4"/>
      <c r="H819" s="4"/>
      <c r="I819" s="4"/>
      <c r="J819" s="4"/>
      <c r="K819" s="4"/>
      <c r="L819" s="4"/>
      <c r="M819" s="4"/>
      <c r="N819" s="4"/>
      <c r="O819" s="4"/>
      <c r="P819" s="4"/>
      <c r="Q819" s="4"/>
      <c r="R819" s="4"/>
      <c r="S819" s="4"/>
      <c r="T819" s="4"/>
      <c r="U819" s="4"/>
      <c r="V819" s="4"/>
      <c r="W819" s="4"/>
      <c r="X819" s="4"/>
      <c r="Y819" s="4"/>
      <c r="Z819" s="4"/>
    </row>
    <row r="820" spans="1:26" ht="15.75" customHeight="1" x14ac:dyDescent="0.2">
      <c r="A820" s="1" t="s">
        <v>1632</v>
      </c>
      <c r="B820" s="1" t="s">
        <v>1633</v>
      </c>
      <c r="C820" s="5" t="str">
        <f ca="1">IFERROR(__xludf.DUMMYFUNCTION("REGEXEXTRACT($B820, $E$2)"),"neiu")</f>
        <v>neiu</v>
      </c>
      <c r="E820" s="4"/>
      <c r="F820" s="4"/>
      <c r="G820" s="4"/>
      <c r="H820" s="4"/>
      <c r="I820" s="4"/>
      <c r="J820" s="4"/>
      <c r="K820" s="4"/>
      <c r="L820" s="4"/>
      <c r="M820" s="4"/>
      <c r="N820" s="4"/>
      <c r="O820" s="4"/>
      <c r="P820" s="4"/>
      <c r="Q820" s="4"/>
      <c r="R820" s="4"/>
      <c r="S820" s="4"/>
      <c r="T820" s="4"/>
      <c r="U820" s="4"/>
      <c r="V820" s="4"/>
      <c r="W820" s="4"/>
      <c r="X820" s="4"/>
      <c r="Y820" s="4"/>
      <c r="Z820" s="4"/>
    </row>
    <row r="821" spans="1:26" ht="15.75" customHeight="1" x14ac:dyDescent="0.2">
      <c r="A821" s="1" t="s">
        <v>1634</v>
      </c>
      <c r="B821" s="1" t="s">
        <v>1635</v>
      </c>
      <c r="C821" s="5" t="str">
        <f ca="1">IFERROR(__xludf.DUMMYFUNCTION("REGEXEXTRACT($B821, $E$2)"),"nsuok")</f>
        <v>nsuok</v>
      </c>
      <c r="E821" s="4"/>
      <c r="F821" s="4"/>
      <c r="G821" s="4"/>
      <c r="H821" s="4"/>
      <c r="I821" s="4"/>
      <c r="J821" s="4"/>
      <c r="K821" s="4"/>
      <c r="L821" s="4"/>
      <c r="M821" s="4"/>
      <c r="N821" s="4"/>
      <c r="O821" s="4"/>
      <c r="P821" s="4"/>
      <c r="Q821" s="4"/>
      <c r="R821" s="4"/>
      <c r="S821" s="4"/>
      <c r="T821" s="4"/>
      <c r="U821" s="4"/>
      <c r="V821" s="4"/>
      <c r="W821" s="4"/>
      <c r="X821" s="4"/>
      <c r="Y821" s="4"/>
      <c r="Z821" s="4"/>
    </row>
    <row r="822" spans="1:26" ht="15.75" customHeight="1" x14ac:dyDescent="0.2">
      <c r="A822" s="1" t="s">
        <v>1636</v>
      </c>
      <c r="B822" s="1" t="s">
        <v>1637</v>
      </c>
      <c r="C822" s="5" t="str">
        <f ca="1">IFERROR(__xludf.DUMMYFUNCTION("REGEXEXTRACT($B822, $E$2)"),"nau")</f>
        <v>nau</v>
      </c>
      <c r="E822" s="4"/>
      <c r="F822" s="4"/>
      <c r="G822" s="4"/>
      <c r="H822" s="4"/>
      <c r="I822" s="4"/>
      <c r="J822" s="4"/>
      <c r="K822" s="4"/>
      <c r="L822" s="4"/>
      <c r="M822" s="4"/>
      <c r="N822" s="4"/>
      <c r="O822" s="4"/>
      <c r="P822" s="4"/>
      <c r="Q822" s="4"/>
      <c r="R822" s="4"/>
      <c r="S822" s="4"/>
      <c r="T822" s="4"/>
      <c r="U822" s="4"/>
      <c r="V822" s="4"/>
      <c r="W822" s="4"/>
      <c r="X822" s="4"/>
      <c r="Y822" s="4"/>
      <c r="Z822" s="4"/>
    </row>
    <row r="823" spans="1:26" ht="15.75" customHeight="1" x14ac:dyDescent="0.2">
      <c r="A823" s="1" t="s">
        <v>1638</v>
      </c>
      <c r="B823" s="1" t="s">
        <v>1639</v>
      </c>
      <c r="C823" s="5" t="str">
        <f ca="1">IFERROR(__xludf.DUMMYFUNCTION("REGEXEXTRACT($B823, $E$2)"),"niu")</f>
        <v>niu</v>
      </c>
      <c r="E823" s="4"/>
      <c r="F823" s="4"/>
      <c r="G823" s="4"/>
      <c r="H823" s="4"/>
      <c r="I823" s="4"/>
      <c r="J823" s="4"/>
      <c r="K823" s="4"/>
      <c r="L823" s="4"/>
      <c r="M823" s="4"/>
      <c r="N823" s="4"/>
      <c r="O823" s="4"/>
      <c r="P823" s="4"/>
      <c r="Q823" s="4"/>
      <c r="R823" s="4"/>
      <c r="S823" s="4"/>
      <c r="T823" s="4"/>
      <c r="U823" s="4"/>
      <c r="V823" s="4"/>
      <c r="W823" s="4"/>
      <c r="X823" s="4"/>
      <c r="Y823" s="4"/>
      <c r="Z823" s="4"/>
    </row>
    <row r="824" spans="1:26" ht="15.75" customHeight="1" x14ac:dyDescent="0.2">
      <c r="A824" s="1" t="s">
        <v>1640</v>
      </c>
      <c r="B824" s="1" t="s">
        <v>1641</v>
      </c>
      <c r="C824" s="5" t="str">
        <f ca="1">IFERROR(__xludf.DUMMYFUNCTION("REGEXEXTRACT($B824, $E$2)"),"nku")</f>
        <v>nku</v>
      </c>
      <c r="E824" s="4"/>
      <c r="F824" s="4"/>
      <c r="G824" s="4"/>
      <c r="H824" s="4"/>
      <c r="I824" s="4"/>
      <c r="J824" s="4"/>
      <c r="K824" s="4"/>
      <c r="L824" s="4"/>
      <c r="M824" s="4"/>
      <c r="N824" s="4"/>
      <c r="O824" s="4"/>
      <c r="P824" s="4"/>
      <c r="Q824" s="4"/>
      <c r="R824" s="4"/>
      <c r="S824" s="4"/>
      <c r="T824" s="4"/>
      <c r="U824" s="4"/>
      <c r="V824" s="4"/>
      <c r="W824" s="4"/>
      <c r="X824" s="4"/>
      <c r="Y824" s="4"/>
      <c r="Z824" s="4"/>
    </row>
    <row r="825" spans="1:26" ht="15.75" customHeight="1" x14ac:dyDescent="0.2">
      <c r="A825" s="1" t="s">
        <v>1642</v>
      </c>
      <c r="B825" s="1" t="s">
        <v>1643</v>
      </c>
      <c r="C825" s="5" t="str">
        <f ca="1">IFERROR(__xludf.DUMMYFUNCTION("REGEXEXTRACT($B825, $E$2)"),"nmu")</f>
        <v>nmu</v>
      </c>
      <c r="E825" s="4"/>
      <c r="F825" s="4"/>
      <c r="G825" s="4"/>
      <c r="H825" s="4"/>
      <c r="I825" s="4"/>
      <c r="J825" s="4"/>
      <c r="K825" s="4"/>
      <c r="L825" s="4"/>
      <c r="M825" s="4"/>
      <c r="N825" s="4"/>
      <c r="O825" s="4"/>
      <c r="P825" s="4"/>
      <c r="Q825" s="4"/>
      <c r="R825" s="4"/>
      <c r="S825" s="4"/>
      <c r="T825" s="4"/>
      <c r="U825" s="4"/>
      <c r="V825" s="4"/>
      <c r="W825" s="4"/>
      <c r="X825" s="4"/>
      <c r="Y825" s="4"/>
      <c r="Z825" s="4"/>
    </row>
    <row r="826" spans="1:26" ht="15.75" customHeight="1" x14ac:dyDescent="0.2">
      <c r="A826" s="1" t="s">
        <v>1644</v>
      </c>
      <c r="B826" s="1" t="s">
        <v>1645</v>
      </c>
      <c r="C826" s="5" t="str">
        <f ca="1">IFERROR(__xludf.DUMMYFUNCTION("REGEXEXTRACT($B826, $E$2)"),"northern")</f>
        <v>northern</v>
      </c>
      <c r="E826" s="4"/>
      <c r="F826" s="4"/>
      <c r="G826" s="4"/>
      <c r="H826" s="4"/>
      <c r="I826" s="4"/>
      <c r="J826" s="4"/>
      <c r="K826" s="4"/>
      <c r="L826" s="4"/>
      <c r="M826" s="4"/>
      <c r="N826" s="4"/>
      <c r="O826" s="4"/>
      <c r="P826" s="4"/>
      <c r="Q826" s="4"/>
      <c r="R826" s="4"/>
      <c r="S826" s="4"/>
      <c r="T826" s="4"/>
      <c r="U826" s="4"/>
      <c r="V826" s="4"/>
      <c r="W826" s="4"/>
      <c r="X826" s="4"/>
      <c r="Y826" s="4"/>
      <c r="Z826" s="4"/>
    </row>
    <row r="827" spans="1:26" ht="15.75" customHeight="1" x14ac:dyDescent="0.2">
      <c r="A827" s="1" t="s">
        <v>1646</v>
      </c>
      <c r="B827" s="1" t="s">
        <v>1647</v>
      </c>
      <c r="C827" s="5" t="str">
        <f ca="1">IFERROR(__xludf.DUMMYFUNCTION("REGEXEXTRACT($B827, $E$2)"),"NorthernVermont")</f>
        <v>NorthernVermont</v>
      </c>
      <c r="E827" s="4"/>
      <c r="F827" s="4"/>
      <c r="G827" s="4"/>
      <c r="H827" s="4"/>
      <c r="I827" s="4"/>
      <c r="J827" s="4"/>
      <c r="K827" s="4"/>
      <c r="L827" s="4"/>
      <c r="M827" s="4"/>
      <c r="N827" s="4"/>
      <c r="O827" s="4"/>
      <c r="P827" s="4"/>
      <c r="Q827" s="4"/>
      <c r="R827" s="4"/>
      <c r="S827" s="4"/>
      <c r="T827" s="4"/>
      <c r="U827" s="4"/>
      <c r="V827" s="4"/>
      <c r="W827" s="4"/>
      <c r="X827" s="4"/>
      <c r="Y827" s="4"/>
      <c r="Z827" s="4"/>
    </row>
    <row r="828" spans="1:26" ht="15.75" customHeight="1" x14ac:dyDescent="0.2">
      <c r="A828" s="1" t="s">
        <v>1648</v>
      </c>
      <c r="B828" s="1" t="s">
        <v>1649</v>
      </c>
      <c r="C828" s="5" t="str">
        <f ca="1">IFERROR(__xludf.DUMMYFUNCTION("REGEXEXTRACT($B828, $E$2)"),"jsc")</f>
        <v>jsc</v>
      </c>
      <c r="E828" s="4"/>
      <c r="F828" s="4"/>
      <c r="G828" s="4"/>
      <c r="H828" s="4"/>
      <c r="I828" s="4"/>
      <c r="J828" s="4"/>
      <c r="K828" s="4"/>
      <c r="L828" s="4"/>
      <c r="M828" s="4"/>
      <c r="N828" s="4"/>
      <c r="O828" s="4"/>
      <c r="P828" s="4"/>
      <c r="Q828" s="4"/>
      <c r="R828" s="4"/>
      <c r="S828" s="4"/>
      <c r="T828" s="4"/>
      <c r="U828" s="4"/>
      <c r="V828" s="4"/>
      <c r="W828" s="4"/>
      <c r="X828" s="4"/>
      <c r="Y828" s="4"/>
      <c r="Z828" s="4"/>
    </row>
    <row r="829" spans="1:26" ht="15.75" customHeight="1" x14ac:dyDescent="0.2">
      <c r="A829" s="1" t="s">
        <v>1650</v>
      </c>
      <c r="B829" s="1" t="s">
        <v>1651</v>
      </c>
      <c r="C829" s="5" t="str">
        <f ca="1">IFERROR(__xludf.DUMMYFUNCTION("REGEXEXTRACT($B829, $E$2)"),"northland")</f>
        <v>northland</v>
      </c>
      <c r="E829" s="4"/>
      <c r="F829" s="4"/>
      <c r="G829" s="4"/>
      <c r="H829" s="4"/>
      <c r="I829" s="4"/>
      <c r="J829" s="4"/>
      <c r="K829" s="4"/>
      <c r="L829" s="4"/>
      <c r="M829" s="4"/>
      <c r="N829" s="4"/>
      <c r="O829" s="4"/>
      <c r="P829" s="4"/>
      <c r="Q829" s="4"/>
      <c r="R829" s="4"/>
      <c r="S829" s="4"/>
      <c r="T829" s="4"/>
      <c r="U829" s="4"/>
      <c r="V829" s="4"/>
      <c r="W829" s="4"/>
      <c r="X829" s="4"/>
      <c r="Y829" s="4"/>
      <c r="Z829" s="4"/>
    </row>
    <row r="830" spans="1:26" ht="15.75" customHeight="1" x14ac:dyDescent="0.2">
      <c r="A830" s="1" t="s">
        <v>1652</v>
      </c>
      <c r="B830" s="1" t="s">
        <v>1653</v>
      </c>
      <c r="C830" s="5" t="str">
        <f ca="1">IFERROR(__xludf.DUMMYFUNCTION("REGEXEXTRACT($B830, $E$2)"),"nwcu")</f>
        <v>nwcu</v>
      </c>
      <c r="E830" s="4"/>
      <c r="F830" s="4"/>
      <c r="G830" s="4"/>
      <c r="H830" s="4"/>
      <c r="I830" s="4"/>
      <c r="J830" s="4"/>
      <c r="K830" s="4"/>
      <c r="L830" s="4"/>
      <c r="M830" s="4"/>
      <c r="N830" s="4"/>
      <c r="O830" s="4"/>
      <c r="P830" s="4"/>
      <c r="Q830" s="4"/>
      <c r="R830" s="4"/>
      <c r="S830" s="4"/>
      <c r="T830" s="4"/>
      <c r="U830" s="4"/>
      <c r="V830" s="4"/>
      <c r="W830" s="4"/>
      <c r="X830" s="4"/>
      <c r="Y830" s="4"/>
      <c r="Z830" s="4"/>
    </row>
    <row r="831" spans="1:26" ht="15.75" customHeight="1" x14ac:dyDescent="0.2">
      <c r="A831" s="1" t="s">
        <v>1654</v>
      </c>
      <c r="B831" s="1" t="s">
        <v>1655</v>
      </c>
      <c r="C831" s="5" t="str">
        <f ca="1">IFERROR(__xludf.DUMMYFUNCTION("REGEXEXTRACT($B831, $E$2)"),"nwmissouri")</f>
        <v>nwmissouri</v>
      </c>
      <c r="E831" s="4"/>
      <c r="F831" s="4"/>
      <c r="G831" s="4"/>
      <c r="H831" s="4"/>
      <c r="I831" s="4"/>
      <c r="J831" s="4"/>
      <c r="K831" s="4"/>
      <c r="L831" s="4"/>
      <c r="M831" s="4"/>
      <c r="N831" s="4"/>
      <c r="O831" s="4"/>
      <c r="P831" s="4"/>
      <c r="Q831" s="4"/>
      <c r="R831" s="4"/>
      <c r="S831" s="4"/>
      <c r="T831" s="4"/>
      <c r="U831" s="4"/>
      <c r="V831" s="4"/>
      <c r="W831" s="4"/>
      <c r="X831" s="4"/>
      <c r="Y831" s="4"/>
      <c r="Z831" s="4"/>
    </row>
    <row r="832" spans="1:26" ht="15.75" customHeight="1" x14ac:dyDescent="0.2">
      <c r="A832" s="1" t="s">
        <v>1656</v>
      </c>
      <c r="B832" s="1" t="s">
        <v>1657</v>
      </c>
      <c r="C832" s="5" t="str">
        <f ca="1">IFERROR(__xludf.DUMMYFUNCTION("REGEXEXTRACT($B832, $E$2)"),"nnu")</f>
        <v>nnu</v>
      </c>
      <c r="E832" s="4"/>
      <c r="F832" s="4"/>
      <c r="G832" s="4"/>
      <c r="H832" s="4"/>
      <c r="I832" s="4"/>
      <c r="J832" s="4"/>
      <c r="K832" s="4"/>
      <c r="L832" s="4"/>
      <c r="M832" s="4"/>
      <c r="N832" s="4"/>
      <c r="O832" s="4"/>
      <c r="P832" s="4"/>
      <c r="Q832" s="4"/>
      <c r="R832" s="4"/>
      <c r="S832" s="4"/>
      <c r="T832" s="4"/>
      <c r="U832" s="4"/>
      <c r="V832" s="4"/>
      <c r="W832" s="4"/>
      <c r="X832" s="4"/>
      <c r="Y832" s="4"/>
      <c r="Z832" s="4"/>
    </row>
    <row r="833" spans="1:26" ht="15.75" customHeight="1" x14ac:dyDescent="0.2">
      <c r="A833" s="1" t="s">
        <v>1658</v>
      </c>
      <c r="B833" s="1" t="s">
        <v>1659</v>
      </c>
      <c r="C833" s="5" t="str">
        <f ca="1">IFERROR(__xludf.DUMMYFUNCTION("REGEXEXTRACT($B833, $E$2)"),"northwestu")</f>
        <v>northwestu</v>
      </c>
      <c r="E833" s="4"/>
      <c r="F833" s="4"/>
      <c r="G833" s="4"/>
      <c r="H833" s="4"/>
      <c r="I833" s="4"/>
      <c r="J833" s="4"/>
      <c r="K833" s="4"/>
      <c r="L833" s="4"/>
      <c r="M833" s="4"/>
      <c r="N833" s="4"/>
      <c r="O833" s="4"/>
      <c r="P833" s="4"/>
      <c r="Q833" s="4"/>
      <c r="R833" s="4"/>
      <c r="S833" s="4"/>
      <c r="T833" s="4"/>
      <c r="U833" s="4"/>
      <c r="V833" s="4"/>
      <c r="W833" s="4"/>
      <c r="X833" s="4"/>
      <c r="Y833" s="4"/>
      <c r="Z833" s="4"/>
    </row>
    <row r="834" spans="1:26" ht="15.75" customHeight="1" x14ac:dyDescent="0.2">
      <c r="A834" s="1" t="s">
        <v>1660</v>
      </c>
      <c r="B834" s="1" t="s">
        <v>1661</v>
      </c>
      <c r="C834" s="5" t="str">
        <f ca="1">IFERROR(__xludf.DUMMYFUNCTION("REGEXEXTRACT($B834, $E$2)"),"nwciowa")</f>
        <v>nwciowa</v>
      </c>
      <c r="E834" s="4"/>
      <c r="F834" s="4"/>
      <c r="G834" s="4"/>
      <c r="H834" s="4"/>
      <c r="I834" s="4"/>
      <c r="J834" s="4"/>
      <c r="K834" s="4"/>
      <c r="L834" s="4"/>
      <c r="M834" s="4"/>
      <c r="N834" s="4"/>
      <c r="O834" s="4"/>
      <c r="P834" s="4"/>
      <c r="Q834" s="4"/>
      <c r="R834" s="4"/>
      <c r="S834" s="4"/>
      <c r="T834" s="4"/>
      <c r="U834" s="4"/>
      <c r="V834" s="4"/>
      <c r="W834" s="4"/>
      <c r="X834" s="4"/>
      <c r="Y834" s="4"/>
      <c r="Z834" s="4"/>
    </row>
    <row r="835" spans="1:26" ht="15.75" customHeight="1" x14ac:dyDescent="0.2">
      <c r="A835" s="1" t="s">
        <v>1662</v>
      </c>
      <c r="B835" s="1" t="s">
        <v>1663</v>
      </c>
      <c r="C835" s="5" t="str">
        <f ca="1">IFERROR(__xludf.DUMMYFUNCTION("REGEXEXTRACT($B835, $E$2)"),"nwosu")</f>
        <v>nwosu</v>
      </c>
      <c r="E835" s="4"/>
      <c r="F835" s="4"/>
      <c r="G835" s="4"/>
      <c r="H835" s="4"/>
      <c r="I835" s="4"/>
      <c r="J835" s="4"/>
      <c r="K835" s="4"/>
      <c r="L835" s="4"/>
      <c r="M835" s="4"/>
      <c r="N835" s="4"/>
      <c r="O835" s="4"/>
      <c r="P835" s="4"/>
      <c r="Q835" s="4"/>
      <c r="R835" s="4"/>
      <c r="S835" s="4"/>
      <c r="T835" s="4"/>
      <c r="U835" s="4"/>
      <c r="V835" s="4"/>
      <c r="W835" s="4"/>
      <c r="X835" s="4"/>
      <c r="Y835" s="4"/>
      <c r="Z835" s="4"/>
    </row>
    <row r="836" spans="1:26" ht="15.75" customHeight="1" x14ac:dyDescent="0.2">
      <c r="A836" s="1" t="s">
        <v>1664</v>
      </c>
      <c r="B836" s="1" t="s">
        <v>1665</v>
      </c>
      <c r="C836" s="5" t="str">
        <f ca="1">IFERROR(__xludf.DUMMYFUNCTION("REGEXEXTRACT($B836, $E$2)"),"nsula")</f>
        <v>nsula</v>
      </c>
      <c r="E836" s="4"/>
      <c r="F836" s="4"/>
      <c r="G836" s="4"/>
      <c r="H836" s="4"/>
      <c r="I836" s="4"/>
      <c r="J836" s="4"/>
      <c r="K836" s="4"/>
      <c r="L836" s="4"/>
      <c r="M836" s="4"/>
      <c r="N836" s="4"/>
      <c r="O836" s="4"/>
      <c r="P836" s="4"/>
      <c r="Q836" s="4"/>
      <c r="R836" s="4"/>
      <c r="S836" s="4"/>
      <c r="T836" s="4"/>
      <c r="U836" s="4"/>
      <c r="V836" s="4"/>
      <c r="W836" s="4"/>
      <c r="X836" s="4"/>
      <c r="Y836" s="4"/>
      <c r="Z836" s="4"/>
    </row>
    <row r="837" spans="1:26" ht="15.75" customHeight="1" x14ac:dyDescent="0.2">
      <c r="A837" s="1" t="s">
        <v>1666</v>
      </c>
      <c r="B837" s="1" t="s">
        <v>1667</v>
      </c>
      <c r="C837" s="5" t="str">
        <f ca="1">IFERROR(__xludf.DUMMYFUNCTION("REGEXEXTRACT($B837, $E$2)"),"northwestern")</f>
        <v>northwestern</v>
      </c>
      <c r="E837" s="4"/>
      <c r="F837" s="4"/>
      <c r="G837" s="4"/>
      <c r="H837" s="4"/>
      <c r="I837" s="4"/>
      <c r="J837" s="4"/>
      <c r="K837" s="4"/>
      <c r="L837" s="4"/>
      <c r="M837" s="4"/>
      <c r="N837" s="4"/>
      <c r="O837" s="4"/>
      <c r="P837" s="4"/>
      <c r="Q837" s="4"/>
      <c r="R837" s="4"/>
      <c r="S837" s="4"/>
      <c r="T837" s="4"/>
      <c r="U837" s="4"/>
      <c r="V837" s="4"/>
      <c r="W837" s="4"/>
      <c r="X837" s="4"/>
      <c r="Y837" s="4"/>
      <c r="Z837" s="4"/>
    </row>
    <row r="838" spans="1:26" ht="15.75" customHeight="1" x14ac:dyDescent="0.2">
      <c r="A838" s="1" t="s">
        <v>1668</v>
      </c>
      <c r="B838" s="1" t="s">
        <v>1669</v>
      </c>
      <c r="C838" s="5" t="str">
        <f ca="1">IFERROR(__xludf.DUMMYFUNCTION("REGEXEXTRACT($B838, $E$2)"),"northwood")</f>
        <v>northwood</v>
      </c>
      <c r="E838" s="4"/>
      <c r="F838" s="4"/>
      <c r="G838" s="4"/>
      <c r="H838" s="4"/>
      <c r="I838" s="4"/>
      <c r="J838" s="4"/>
      <c r="K838" s="4"/>
      <c r="L838" s="4"/>
      <c r="M838" s="4"/>
      <c r="N838" s="4"/>
      <c r="O838" s="4"/>
      <c r="P838" s="4"/>
      <c r="Q838" s="4"/>
      <c r="R838" s="4"/>
      <c r="S838" s="4"/>
      <c r="T838" s="4"/>
      <c r="U838" s="4"/>
      <c r="V838" s="4"/>
      <c r="W838" s="4"/>
      <c r="X838" s="4"/>
      <c r="Y838" s="4"/>
      <c r="Z838" s="4"/>
    </row>
    <row r="839" spans="1:26" ht="15.75" customHeight="1" x14ac:dyDescent="0.2">
      <c r="A839" s="1" t="s">
        <v>1670</v>
      </c>
      <c r="B839" s="1" t="s">
        <v>1671</v>
      </c>
      <c r="C839" s="5" t="str">
        <f ca="1">IFERROR(__xludf.DUMMYFUNCTION("REGEXEXTRACT($B839, $E$2)"),"norwich")</f>
        <v>norwich</v>
      </c>
      <c r="E839" s="4"/>
      <c r="F839" s="4"/>
      <c r="G839" s="4"/>
      <c r="H839" s="4"/>
      <c r="I839" s="4"/>
      <c r="J839" s="4"/>
      <c r="K839" s="4"/>
      <c r="L839" s="4"/>
      <c r="M839" s="4"/>
      <c r="N839" s="4"/>
      <c r="O839" s="4"/>
      <c r="P839" s="4"/>
      <c r="Q839" s="4"/>
      <c r="R839" s="4"/>
      <c r="S839" s="4"/>
      <c r="T839" s="4"/>
      <c r="U839" s="4"/>
      <c r="V839" s="4"/>
      <c r="W839" s="4"/>
      <c r="X839" s="4"/>
      <c r="Y839" s="4"/>
      <c r="Z839" s="4"/>
    </row>
    <row r="840" spans="1:26" ht="15.75" customHeight="1" x14ac:dyDescent="0.2">
      <c r="A840" s="1" t="s">
        <v>1672</v>
      </c>
      <c r="B840" s="1" t="s">
        <v>1673</v>
      </c>
      <c r="C840" s="5" t="str">
        <f ca="1">IFERROR(__xludf.DUMMYFUNCTION("REGEXEXTRACT($B840, $E$2)"),"ndnu")</f>
        <v>ndnu</v>
      </c>
      <c r="E840" s="4"/>
      <c r="F840" s="4"/>
      <c r="G840" s="4"/>
      <c r="H840" s="4"/>
      <c r="I840" s="4"/>
      <c r="J840" s="4"/>
      <c r="K840" s="4"/>
      <c r="L840" s="4"/>
      <c r="M840" s="4"/>
      <c r="N840" s="4"/>
      <c r="O840" s="4"/>
      <c r="P840" s="4"/>
      <c r="Q840" s="4"/>
      <c r="R840" s="4"/>
      <c r="S840" s="4"/>
      <c r="T840" s="4"/>
      <c r="U840" s="4"/>
      <c r="V840" s="4"/>
      <c r="W840" s="4"/>
      <c r="X840" s="4"/>
      <c r="Y840" s="4"/>
      <c r="Z840" s="4"/>
    </row>
    <row r="841" spans="1:26" ht="15.75" customHeight="1" x14ac:dyDescent="0.2">
      <c r="A841" s="1" t="s">
        <v>1674</v>
      </c>
      <c r="B841" s="1" t="s">
        <v>1675</v>
      </c>
      <c r="C841" s="5" t="str">
        <f ca="1">IFERROR(__xludf.DUMMYFUNCTION("REGEXEXTRACT($B841, $E$2)"),"ndm")</f>
        <v>ndm</v>
      </c>
      <c r="E841" s="4"/>
      <c r="F841" s="4"/>
      <c r="G841" s="4"/>
      <c r="H841" s="4"/>
      <c r="I841" s="4"/>
      <c r="J841" s="4"/>
      <c r="K841" s="4"/>
      <c r="L841" s="4"/>
      <c r="M841" s="4"/>
      <c r="N841" s="4"/>
      <c r="O841" s="4"/>
      <c r="P841" s="4"/>
      <c r="Q841" s="4"/>
      <c r="R841" s="4"/>
      <c r="S841" s="4"/>
      <c r="T841" s="4"/>
      <c r="U841" s="4"/>
      <c r="V841" s="4"/>
      <c r="W841" s="4"/>
      <c r="X841" s="4"/>
      <c r="Y841" s="4"/>
      <c r="Z841" s="4"/>
    </row>
    <row r="842" spans="1:26" ht="15.75" customHeight="1" x14ac:dyDescent="0.2">
      <c r="A842" s="1" t="s">
        <v>1676</v>
      </c>
      <c r="B842" s="1" t="s">
        <v>1677</v>
      </c>
      <c r="C842" s="5" t="str">
        <f ca="1">IFERROR(__xludf.DUMMYFUNCTION("REGEXEXTRACT($B842, $E$2)"),"nova")</f>
        <v>nova</v>
      </c>
      <c r="E842" s="4"/>
      <c r="F842" s="4"/>
      <c r="G842" s="4"/>
      <c r="H842" s="4"/>
      <c r="I842" s="4"/>
      <c r="J842" s="4"/>
      <c r="K842" s="4"/>
      <c r="L842" s="4"/>
      <c r="M842" s="4"/>
      <c r="N842" s="4"/>
      <c r="O842" s="4"/>
      <c r="P842" s="4"/>
      <c r="Q842" s="4"/>
      <c r="R842" s="4"/>
      <c r="S842" s="4"/>
      <c r="T842" s="4"/>
      <c r="U842" s="4"/>
      <c r="V842" s="4"/>
      <c r="W842" s="4"/>
      <c r="X842" s="4"/>
      <c r="Y842" s="4"/>
      <c r="Z842" s="4"/>
    </row>
    <row r="843" spans="1:26" ht="15.75" customHeight="1" x14ac:dyDescent="0.2">
      <c r="A843" s="1" t="s">
        <v>1678</v>
      </c>
      <c r="B843" s="1" t="s">
        <v>1679</v>
      </c>
      <c r="C843" s="5" t="str">
        <f ca="1">IFERROR(__xludf.DUMMYFUNCTION("REGEXEXTRACT($B843, $E$2)"),"nyack")</f>
        <v>nyack</v>
      </c>
      <c r="E843" s="4"/>
      <c r="F843" s="4"/>
      <c r="G843" s="4"/>
      <c r="H843" s="4"/>
      <c r="I843" s="4"/>
      <c r="J843" s="4"/>
      <c r="K843" s="4"/>
      <c r="L843" s="4"/>
      <c r="M843" s="4"/>
      <c r="N843" s="4"/>
      <c r="O843" s="4"/>
      <c r="P843" s="4"/>
      <c r="Q843" s="4"/>
      <c r="R843" s="4"/>
      <c r="S843" s="4"/>
      <c r="T843" s="4"/>
      <c r="U843" s="4"/>
      <c r="V843" s="4"/>
      <c r="W843" s="4"/>
      <c r="X843" s="4"/>
      <c r="Y843" s="4"/>
      <c r="Z843" s="4"/>
    </row>
    <row r="844" spans="1:26" ht="15.75" customHeight="1" x14ac:dyDescent="0.2">
      <c r="A844" s="1" t="s">
        <v>1680</v>
      </c>
      <c r="B844" s="1" t="s">
        <v>1681</v>
      </c>
      <c r="C844" s="5" t="str">
        <f ca="1">IFERROR(__xludf.DUMMYFUNCTION("REGEXEXTRACT($B844, $E$2)"),"oakhills")</f>
        <v>oakhills</v>
      </c>
      <c r="E844" s="4"/>
      <c r="F844" s="4"/>
      <c r="G844" s="4"/>
      <c r="H844" s="4"/>
      <c r="I844" s="4"/>
      <c r="J844" s="4"/>
      <c r="K844" s="4"/>
      <c r="L844" s="4"/>
      <c r="M844" s="4"/>
      <c r="N844" s="4"/>
      <c r="O844" s="4"/>
      <c r="P844" s="4"/>
      <c r="Q844" s="4"/>
      <c r="R844" s="4"/>
      <c r="S844" s="4"/>
      <c r="T844" s="4"/>
      <c r="U844" s="4"/>
      <c r="V844" s="4"/>
      <c r="W844" s="4"/>
      <c r="X844" s="4"/>
      <c r="Y844" s="4"/>
      <c r="Z844" s="4"/>
    </row>
    <row r="845" spans="1:26" ht="15.75" customHeight="1" x14ac:dyDescent="0.2">
      <c r="A845" s="1" t="s">
        <v>1682</v>
      </c>
      <c r="B845" s="1" t="s">
        <v>1683</v>
      </c>
      <c r="C845" s="5" t="str">
        <f ca="1">IFERROR(__xludf.DUMMYFUNCTION("REGEXEXTRACT($B845, $E$2)"),"oak")</f>
        <v>oak</v>
      </c>
      <c r="E845" s="4"/>
      <c r="F845" s="4"/>
      <c r="G845" s="4"/>
      <c r="H845" s="4"/>
      <c r="I845" s="4"/>
      <c r="J845" s="4"/>
      <c r="K845" s="4"/>
      <c r="L845" s="4"/>
      <c r="M845" s="4"/>
      <c r="N845" s="4"/>
      <c r="O845" s="4"/>
      <c r="P845" s="4"/>
      <c r="Q845" s="4"/>
      <c r="R845" s="4"/>
      <c r="S845" s="4"/>
      <c r="T845" s="4"/>
      <c r="U845" s="4"/>
      <c r="V845" s="4"/>
      <c r="W845" s="4"/>
      <c r="X845" s="4"/>
      <c r="Y845" s="4"/>
      <c r="Z845" s="4"/>
    </row>
    <row r="846" spans="1:26" ht="15.75" customHeight="1" x14ac:dyDescent="0.2">
      <c r="A846" s="1" t="s">
        <v>1684</v>
      </c>
      <c r="B846" s="1" t="s">
        <v>1685</v>
      </c>
      <c r="C846" s="5" t="str">
        <f ca="1">IFERROR(__xludf.DUMMYFUNCTION("REGEXEXTRACT($B846, $E$2)"),"oakland")</f>
        <v>oakland</v>
      </c>
      <c r="E846" s="4"/>
      <c r="F846" s="4"/>
      <c r="G846" s="4"/>
      <c r="H846" s="4"/>
      <c r="I846" s="4"/>
      <c r="J846" s="4"/>
      <c r="K846" s="4"/>
      <c r="L846" s="4"/>
      <c r="M846" s="4"/>
      <c r="N846" s="4"/>
      <c r="O846" s="4"/>
      <c r="P846" s="4"/>
      <c r="Q846" s="4"/>
      <c r="R846" s="4"/>
      <c r="S846" s="4"/>
      <c r="T846" s="4"/>
      <c r="U846" s="4"/>
      <c r="V846" s="4"/>
      <c r="W846" s="4"/>
      <c r="X846" s="4"/>
      <c r="Y846" s="4"/>
      <c r="Z846" s="4"/>
    </row>
    <row r="847" spans="1:26" ht="15.75" customHeight="1" x14ac:dyDescent="0.2">
      <c r="A847" s="1" t="s">
        <v>1686</v>
      </c>
      <c r="B847" s="1" t="s">
        <v>1687</v>
      </c>
      <c r="C847" s="5" t="str">
        <f ca="1">IFERROR(__xludf.DUMMYFUNCTION("REGEXEXTRACT($B847, $E$2)"),"oakwood")</f>
        <v>oakwood</v>
      </c>
      <c r="E847" s="4"/>
      <c r="F847" s="4"/>
      <c r="G847" s="4"/>
      <c r="H847" s="4"/>
      <c r="I847" s="4"/>
      <c r="J847" s="4"/>
      <c r="K847" s="4"/>
      <c r="L847" s="4"/>
      <c r="M847" s="4"/>
      <c r="N847" s="4"/>
      <c r="O847" s="4"/>
      <c r="P847" s="4"/>
      <c r="Q847" s="4"/>
      <c r="R847" s="4"/>
      <c r="S847" s="4"/>
      <c r="T847" s="4"/>
      <c r="U847" s="4"/>
      <c r="V847" s="4"/>
      <c r="W847" s="4"/>
      <c r="X847" s="4"/>
      <c r="Y847" s="4"/>
      <c r="Z847" s="4"/>
    </row>
    <row r="848" spans="1:26" ht="15.75" customHeight="1" x14ac:dyDescent="0.2">
      <c r="A848" s="1" t="s">
        <v>1688</v>
      </c>
      <c r="B848" s="1" t="s">
        <v>1689</v>
      </c>
      <c r="C848" s="5" t="str">
        <f ca="1">IFERROR(__xludf.DUMMYFUNCTION("REGEXEXTRACT($B848, $E$2)"),"oberlin")</f>
        <v>oberlin</v>
      </c>
      <c r="E848" s="4"/>
      <c r="F848" s="4"/>
      <c r="G848" s="4"/>
      <c r="H848" s="4"/>
      <c r="I848" s="4"/>
      <c r="J848" s="4"/>
      <c r="K848" s="4"/>
      <c r="L848" s="4"/>
      <c r="M848" s="4"/>
      <c r="N848" s="4"/>
      <c r="O848" s="4"/>
      <c r="P848" s="4"/>
      <c r="Q848" s="4"/>
      <c r="R848" s="4"/>
      <c r="S848" s="4"/>
      <c r="T848" s="4"/>
      <c r="U848" s="4"/>
      <c r="V848" s="4"/>
      <c r="W848" s="4"/>
      <c r="X848" s="4"/>
      <c r="Y848" s="4"/>
      <c r="Z848" s="4"/>
    </row>
    <row r="849" spans="1:26" ht="15.75" customHeight="1" x14ac:dyDescent="0.2">
      <c r="A849" s="1" t="s">
        <v>1690</v>
      </c>
      <c r="B849" s="1" t="s">
        <v>1691</v>
      </c>
      <c r="C849" s="5" t="str">
        <f ca="1">IFERROR(__xludf.DUMMYFUNCTION("REGEXEXTRACT($B849, $E$2)"),"oxy")</f>
        <v>oxy</v>
      </c>
      <c r="E849" s="4"/>
      <c r="F849" s="4"/>
      <c r="G849" s="4"/>
      <c r="H849" s="4"/>
      <c r="I849" s="4"/>
      <c r="J849" s="4"/>
      <c r="K849" s="4"/>
      <c r="L849" s="4"/>
      <c r="M849" s="4"/>
      <c r="N849" s="4"/>
      <c r="O849" s="4"/>
      <c r="P849" s="4"/>
      <c r="Q849" s="4"/>
      <c r="R849" s="4"/>
      <c r="S849" s="4"/>
      <c r="T849" s="4"/>
      <c r="U849" s="4"/>
      <c r="V849" s="4"/>
      <c r="W849" s="4"/>
      <c r="X849" s="4"/>
      <c r="Y849" s="4"/>
      <c r="Z849" s="4"/>
    </row>
    <row r="850" spans="1:26" ht="15.75" customHeight="1" x14ac:dyDescent="0.2">
      <c r="A850" s="1" t="s">
        <v>1692</v>
      </c>
      <c r="B850" s="1" t="s">
        <v>1693</v>
      </c>
      <c r="C850" s="5" t="str">
        <f ca="1">IFERROR(__xludf.DUMMYFUNCTION("REGEXEXTRACT($B850, $E$2)"),"oglethorpe")</f>
        <v>oglethorpe</v>
      </c>
      <c r="E850" s="4"/>
      <c r="F850" s="4"/>
      <c r="G850" s="4"/>
      <c r="H850" s="4"/>
      <c r="I850" s="4"/>
      <c r="J850" s="4"/>
      <c r="K850" s="4"/>
      <c r="L850" s="4"/>
      <c r="M850" s="4"/>
      <c r="N850" s="4"/>
      <c r="O850" s="4"/>
      <c r="P850" s="4"/>
      <c r="Q850" s="4"/>
      <c r="R850" s="4"/>
      <c r="S850" s="4"/>
      <c r="T850" s="4"/>
      <c r="U850" s="4"/>
      <c r="V850" s="4"/>
      <c r="W850" s="4"/>
      <c r="X850" s="4"/>
      <c r="Y850" s="4"/>
      <c r="Z850" s="4"/>
    </row>
    <row r="851" spans="1:26" ht="15.75" customHeight="1" x14ac:dyDescent="0.2">
      <c r="A851" s="1" t="s">
        <v>1694</v>
      </c>
      <c r="B851" s="1" t="s">
        <v>1695</v>
      </c>
      <c r="C851" s="5" t="str">
        <f ca="1">IFERROR(__xludf.DUMMYFUNCTION("REGEXEXTRACT($B851, $E$2)"),"ohiodominican")</f>
        <v>ohiodominican</v>
      </c>
      <c r="E851" s="4"/>
      <c r="F851" s="4"/>
      <c r="G851" s="4"/>
      <c r="H851" s="4"/>
      <c r="I851" s="4"/>
      <c r="J851" s="4"/>
      <c r="K851" s="4"/>
      <c r="L851" s="4"/>
      <c r="M851" s="4"/>
      <c r="N851" s="4"/>
      <c r="O851" s="4"/>
      <c r="P851" s="4"/>
      <c r="Q851" s="4"/>
      <c r="R851" s="4"/>
      <c r="S851" s="4"/>
      <c r="T851" s="4"/>
      <c r="U851" s="4"/>
      <c r="V851" s="4"/>
      <c r="W851" s="4"/>
      <c r="X851" s="4"/>
      <c r="Y851" s="4"/>
      <c r="Z851" s="4"/>
    </row>
    <row r="852" spans="1:26" ht="15.75" customHeight="1" x14ac:dyDescent="0.2">
      <c r="A852" s="1" t="s">
        <v>1696</v>
      </c>
      <c r="B852" s="1" t="s">
        <v>1697</v>
      </c>
      <c r="C852" s="5" t="str">
        <f ca="1">IFERROR(__xludf.DUMMYFUNCTION("REGEXEXTRACT($B852, $E$2)"),"onu")</f>
        <v>onu</v>
      </c>
      <c r="E852" s="4"/>
      <c r="F852" s="4"/>
      <c r="G852" s="4"/>
      <c r="H852" s="4"/>
      <c r="I852" s="4"/>
      <c r="J852" s="4"/>
      <c r="K852" s="4"/>
      <c r="L852" s="4"/>
      <c r="M852" s="4"/>
      <c r="N852" s="4"/>
      <c r="O852" s="4"/>
      <c r="P852" s="4"/>
      <c r="Q852" s="4"/>
      <c r="R852" s="4"/>
      <c r="S852" s="4"/>
      <c r="T852" s="4"/>
      <c r="U852" s="4"/>
      <c r="V852" s="4"/>
      <c r="W852" s="4"/>
      <c r="X852" s="4"/>
      <c r="Y852" s="4"/>
      <c r="Z852" s="4"/>
    </row>
    <row r="853" spans="1:26" ht="15.75" customHeight="1" x14ac:dyDescent="0.2">
      <c r="A853" s="1" t="s">
        <v>1698</v>
      </c>
      <c r="B853" s="1" t="s">
        <v>1699</v>
      </c>
      <c r="C853" s="5" t="str">
        <f ca="1">IFERROR(__xludf.DUMMYFUNCTION("REGEXEXTRACT($B853, $E$2)"),"ohio")</f>
        <v>ohio</v>
      </c>
      <c r="E853" s="4"/>
      <c r="F853" s="4"/>
      <c r="G853" s="4"/>
      <c r="H853" s="4"/>
      <c r="I853" s="4"/>
      <c r="J853" s="4"/>
      <c r="K853" s="4"/>
      <c r="L853" s="4"/>
      <c r="M853" s="4"/>
      <c r="N853" s="4"/>
      <c r="O853" s="4"/>
      <c r="P853" s="4"/>
      <c r="Q853" s="4"/>
      <c r="R853" s="4"/>
      <c r="S853" s="4"/>
      <c r="T853" s="4"/>
      <c r="U853" s="4"/>
      <c r="V853" s="4"/>
      <c r="W853" s="4"/>
      <c r="X853" s="4"/>
      <c r="Y853" s="4"/>
      <c r="Z853" s="4"/>
    </row>
    <row r="854" spans="1:26" ht="15.75" customHeight="1" x14ac:dyDescent="0.2">
      <c r="A854" s="1" t="s">
        <v>1700</v>
      </c>
      <c r="B854" s="1" t="s">
        <v>1701</v>
      </c>
      <c r="C854" s="5" t="str">
        <f ca="1">IFERROR(__xludf.DUMMYFUNCTION("REGEXEXTRACT($B854, $E$2)"),"ovu")</f>
        <v>ovu</v>
      </c>
      <c r="E854" s="4"/>
      <c r="F854" s="4"/>
      <c r="G854" s="4"/>
      <c r="H854" s="4"/>
      <c r="I854" s="4"/>
      <c r="J854" s="4"/>
      <c r="K854" s="4"/>
      <c r="L854" s="4"/>
      <c r="M854" s="4"/>
      <c r="N854" s="4"/>
      <c r="O854" s="4"/>
      <c r="P854" s="4"/>
      <c r="Q854" s="4"/>
      <c r="R854" s="4"/>
      <c r="S854" s="4"/>
      <c r="T854" s="4"/>
      <c r="U854" s="4"/>
      <c r="V854" s="4"/>
      <c r="W854" s="4"/>
      <c r="X854" s="4"/>
      <c r="Y854" s="4"/>
      <c r="Z854" s="4"/>
    </row>
    <row r="855" spans="1:26" ht="15.75" customHeight="1" x14ac:dyDescent="0.2">
      <c r="A855" s="1" t="s">
        <v>1702</v>
      </c>
      <c r="B855" s="1" t="s">
        <v>1703</v>
      </c>
      <c r="C855" s="5" t="str">
        <f ca="1">IFERROR(__xludf.DUMMYFUNCTION("REGEXEXTRACT($B855, $E$2)"),"owu")</f>
        <v>owu</v>
      </c>
      <c r="E855" s="4"/>
      <c r="F855" s="4"/>
      <c r="G855" s="4"/>
      <c r="H855" s="4"/>
      <c r="I855" s="4"/>
      <c r="J855" s="4"/>
      <c r="K855" s="4"/>
      <c r="L855" s="4"/>
      <c r="M855" s="4"/>
      <c r="N855" s="4"/>
      <c r="O855" s="4"/>
      <c r="P855" s="4"/>
      <c r="Q855" s="4"/>
      <c r="R855" s="4"/>
      <c r="S855" s="4"/>
      <c r="T855" s="4"/>
      <c r="U855" s="4"/>
      <c r="V855" s="4"/>
      <c r="W855" s="4"/>
      <c r="X855" s="4"/>
      <c r="Y855" s="4"/>
      <c r="Z855" s="4"/>
    </row>
    <row r="856" spans="1:26" ht="15.75" customHeight="1" x14ac:dyDescent="0.2">
      <c r="A856" s="1" t="s">
        <v>1704</v>
      </c>
      <c r="B856" s="1" t="s">
        <v>1705</v>
      </c>
      <c r="C856" s="5" t="str">
        <f ca="1">IFERROR(__xludf.DUMMYFUNCTION("REGEXEXTRACT($B856, $E$2)"),"okbu")</f>
        <v>okbu</v>
      </c>
      <c r="E856" s="4"/>
      <c r="F856" s="4"/>
      <c r="G856" s="4"/>
      <c r="H856" s="4"/>
      <c r="I856" s="4"/>
      <c r="J856" s="4"/>
      <c r="K856" s="4"/>
      <c r="L856" s="4"/>
      <c r="M856" s="4"/>
      <c r="N856" s="4"/>
      <c r="O856" s="4"/>
      <c r="P856" s="4"/>
      <c r="Q856" s="4"/>
      <c r="R856" s="4"/>
      <c r="S856" s="4"/>
      <c r="T856" s="4"/>
      <c r="U856" s="4"/>
      <c r="V856" s="4"/>
      <c r="W856" s="4"/>
      <c r="X856" s="4"/>
      <c r="Y856" s="4"/>
      <c r="Z856" s="4"/>
    </row>
    <row r="857" spans="1:26" ht="15.75" customHeight="1" x14ac:dyDescent="0.2">
      <c r="A857" s="1" t="s">
        <v>1706</v>
      </c>
      <c r="B857" s="1" t="s">
        <v>1707</v>
      </c>
      <c r="C857" s="5" t="str">
        <f ca="1">IFERROR(__xludf.DUMMYFUNCTION("REGEXEXTRACT($B857, $E$2)"),"oc")</f>
        <v>oc</v>
      </c>
      <c r="E857" s="4"/>
      <c r="F857" s="4"/>
      <c r="G857" s="4"/>
      <c r="H857" s="4"/>
      <c r="I857" s="4"/>
      <c r="J857" s="4"/>
      <c r="K857" s="4"/>
      <c r="L857" s="4"/>
      <c r="M857" s="4"/>
      <c r="N857" s="4"/>
      <c r="O857" s="4"/>
      <c r="P857" s="4"/>
      <c r="Q857" s="4"/>
      <c r="R857" s="4"/>
      <c r="S857" s="4"/>
      <c r="T857" s="4"/>
      <c r="U857" s="4"/>
      <c r="V857" s="4"/>
      <c r="W857" s="4"/>
      <c r="X857" s="4"/>
      <c r="Y857" s="4"/>
      <c r="Z857" s="4"/>
    </row>
    <row r="858" spans="1:26" ht="15.75" customHeight="1" x14ac:dyDescent="0.2">
      <c r="A858" s="1" t="s">
        <v>1708</v>
      </c>
      <c r="B858" s="1" t="s">
        <v>1709</v>
      </c>
      <c r="C858" s="5" t="str">
        <f ca="1">IFERROR(__xludf.DUMMYFUNCTION("REGEXEXTRACT($B858, $E$2)"),"okcu")</f>
        <v>okcu</v>
      </c>
      <c r="E858" s="4"/>
      <c r="F858" s="4"/>
      <c r="G858" s="4"/>
      <c r="H858" s="4"/>
      <c r="I858" s="4"/>
      <c r="J858" s="4"/>
      <c r="K858" s="4"/>
      <c r="L858" s="4"/>
      <c r="M858" s="4"/>
      <c r="N858" s="4"/>
      <c r="O858" s="4"/>
      <c r="P858" s="4"/>
      <c r="Q858" s="4"/>
      <c r="R858" s="4"/>
      <c r="S858" s="4"/>
      <c r="T858" s="4"/>
      <c r="U858" s="4"/>
      <c r="V858" s="4"/>
      <c r="W858" s="4"/>
      <c r="X858" s="4"/>
      <c r="Y858" s="4"/>
      <c r="Z858" s="4"/>
    </row>
    <row r="859" spans="1:26" ht="15.75" customHeight="1" x14ac:dyDescent="0.2">
      <c r="A859" s="1" t="s">
        <v>1710</v>
      </c>
      <c r="B859" s="1" t="s">
        <v>1711</v>
      </c>
      <c r="C859" s="5" t="str">
        <f ca="1">IFERROR(__xludf.DUMMYFUNCTION("REGEXEXTRACT($B859, $E$2)"),"opsu")</f>
        <v>opsu</v>
      </c>
      <c r="E859" s="4"/>
      <c r="F859" s="4"/>
      <c r="G859" s="4"/>
      <c r="H859" s="4"/>
      <c r="I859" s="4"/>
      <c r="J859" s="4"/>
      <c r="K859" s="4"/>
      <c r="L859" s="4"/>
      <c r="M859" s="4"/>
      <c r="N859" s="4"/>
      <c r="O859" s="4"/>
      <c r="P859" s="4"/>
      <c r="Q859" s="4"/>
      <c r="R859" s="4"/>
      <c r="S859" s="4"/>
      <c r="T859" s="4"/>
      <c r="U859" s="4"/>
      <c r="V859" s="4"/>
      <c r="W859" s="4"/>
      <c r="X859" s="4"/>
      <c r="Y859" s="4"/>
      <c r="Z859" s="4"/>
    </row>
    <row r="860" spans="1:26" ht="15.75" customHeight="1" x14ac:dyDescent="0.2">
      <c r="A860" s="1" t="s">
        <v>1712</v>
      </c>
      <c r="B860" s="1" t="s">
        <v>1713</v>
      </c>
      <c r="C860" s="5" t="str">
        <f ca="1">IFERROR(__xludf.DUMMYFUNCTION("REGEXEXTRACT($B860, $E$2)"),"okstate")</f>
        <v>okstate</v>
      </c>
      <c r="E860" s="4"/>
      <c r="F860" s="4"/>
      <c r="G860" s="4"/>
      <c r="H860" s="4"/>
      <c r="I860" s="4"/>
      <c r="J860" s="4"/>
      <c r="K860" s="4"/>
      <c r="L860" s="4"/>
      <c r="M860" s="4"/>
      <c r="N860" s="4"/>
      <c r="O860" s="4"/>
      <c r="P860" s="4"/>
      <c r="Q860" s="4"/>
      <c r="R860" s="4"/>
      <c r="S860" s="4"/>
      <c r="T860" s="4"/>
      <c r="U860" s="4"/>
      <c r="V860" s="4"/>
      <c r="W860" s="4"/>
      <c r="X860" s="4"/>
      <c r="Y860" s="4"/>
      <c r="Z860" s="4"/>
    </row>
    <row r="861" spans="1:26" ht="15.75" customHeight="1" x14ac:dyDescent="0.2">
      <c r="A861" s="1" t="s">
        <v>1714</v>
      </c>
      <c r="B861" s="1" t="s">
        <v>1715</v>
      </c>
      <c r="C861" s="5" t="str">
        <f ca="1">IFERROR(__xludf.DUMMYFUNCTION("REGEXEXTRACT($B861, $E$2)"),"okwu")</f>
        <v>okwu</v>
      </c>
      <c r="E861" s="4"/>
      <c r="F861" s="4"/>
      <c r="G861" s="4"/>
      <c r="H861" s="4"/>
      <c r="I861" s="4"/>
      <c r="J861" s="4"/>
      <c r="K861" s="4"/>
      <c r="L861" s="4"/>
      <c r="M861" s="4"/>
      <c r="N861" s="4"/>
      <c r="O861" s="4"/>
      <c r="P861" s="4"/>
      <c r="Q861" s="4"/>
      <c r="R861" s="4"/>
      <c r="S861" s="4"/>
      <c r="T861" s="4"/>
      <c r="U861" s="4"/>
      <c r="V861" s="4"/>
      <c r="W861" s="4"/>
      <c r="X861" s="4"/>
      <c r="Y861" s="4"/>
      <c r="Z861" s="4"/>
    </row>
    <row r="862" spans="1:26" ht="15.75" customHeight="1" x14ac:dyDescent="0.2">
      <c r="A862" s="1" t="s">
        <v>1716</v>
      </c>
      <c r="B862" s="1" t="s">
        <v>1717</v>
      </c>
      <c r="C862" s="5" t="str">
        <f ca="1">IFERROR(__xludf.DUMMYFUNCTION("REGEXEXTRACT($B862, $E$2)"),"odu")</f>
        <v>odu</v>
      </c>
      <c r="E862" s="4"/>
      <c r="F862" s="4"/>
      <c r="G862" s="4"/>
      <c r="H862" s="4"/>
      <c r="I862" s="4"/>
      <c r="J862" s="4"/>
      <c r="K862" s="4"/>
      <c r="L862" s="4"/>
      <c r="M862" s="4"/>
      <c r="N862" s="4"/>
      <c r="O862" s="4"/>
      <c r="P862" s="4"/>
      <c r="Q862" s="4"/>
      <c r="R862" s="4"/>
      <c r="S862" s="4"/>
      <c r="T862" s="4"/>
      <c r="U862" s="4"/>
      <c r="V862" s="4"/>
      <c r="W862" s="4"/>
      <c r="X862" s="4"/>
      <c r="Y862" s="4"/>
      <c r="Z862" s="4"/>
    </row>
    <row r="863" spans="1:26" ht="15.75" customHeight="1" x14ac:dyDescent="0.2">
      <c r="A863" s="1" t="s">
        <v>1718</v>
      </c>
      <c r="B863" s="1" t="s">
        <v>1719</v>
      </c>
      <c r="C863" s="5" t="str">
        <f ca="1">IFERROR(__xludf.DUMMYFUNCTION("REGEXEXTRACT($B863, $E$2)"),"olemiss")</f>
        <v>olemiss</v>
      </c>
      <c r="E863" s="4"/>
      <c r="F863" s="4"/>
      <c r="G863" s="4"/>
      <c r="H863" s="4"/>
      <c r="I863" s="4"/>
      <c r="J863" s="4"/>
      <c r="K863" s="4"/>
      <c r="L863" s="4"/>
      <c r="M863" s="4"/>
      <c r="N863" s="4"/>
      <c r="O863" s="4"/>
      <c r="P863" s="4"/>
      <c r="Q863" s="4"/>
      <c r="R863" s="4"/>
      <c r="S863" s="4"/>
      <c r="T863" s="4"/>
      <c r="U863" s="4"/>
      <c r="V863" s="4"/>
      <c r="W863" s="4"/>
      <c r="X863" s="4"/>
      <c r="Y863" s="4"/>
      <c r="Z863" s="4"/>
    </row>
    <row r="864" spans="1:26" ht="15.75" customHeight="1" x14ac:dyDescent="0.2">
      <c r="A864" s="1" t="s">
        <v>1720</v>
      </c>
      <c r="B864" s="1" t="s">
        <v>1721</v>
      </c>
      <c r="C864" s="5" t="str">
        <f ca="1">IFERROR(__xludf.DUMMYFUNCTION("REGEXEXTRACT($B864, $E$2)"),"olivetcollege")</f>
        <v>olivetcollege</v>
      </c>
      <c r="E864" s="4"/>
      <c r="F864" s="4"/>
      <c r="G864" s="4"/>
      <c r="H864" s="4"/>
      <c r="I864" s="4"/>
      <c r="J864" s="4"/>
      <c r="K864" s="4"/>
      <c r="L864" s="4"/>
      <c r="M864" s="4"/>
      <c r="N864" s="4"/>
      <c r="O864" s="4"/>
      <c r="P864" s="4"/>
      <c r="Q864" s="4"/>
      <c r="R864" s="4"/>
      <c r="S864" s="4"/>
      <c r="T864" s="4"/>
      <c r="U864" s="4"/>
      <c r="V864" s="4"/>
      <c r="W864" s="4"/>
      <c r="X864" s="4"/>
      <c r="Y864" s="4"/>
      <c r="Z864" s="4"/>
    </row>
    <row r="865" spans="1:26" ht="15.75" customHeight="1" x14ac:dyDescent="0.2">
      <c r="A865" s="1" t="s">
        <v>1722</v>
      </c>
      <c r="B865" s="1" t="s">
        <v>1723</v>
      </c>
      <c r="C865" s="5" t="str">
        <f ca="1">IFERROR(__xludf.DUMMYFUNCTION("REGEXEXTRACT($B865, $E$2)"),"olivet")</f>
        <v>olivet</v>
      </c>
      <c r="E865" s="4"/>
      <c r="F865" s="4"/>
      <c r="G865" s="4"/>
      <c r="H865" s="4"/>
      <c r="I865" s="4"/>
      <c r="J865" s="4"/>
      <c r="K865" s="4"/>
      <c r="L865" s="4"/>
      <c r="M865" s="4"/>
      <c r="N865" s="4"/>
      <c r="O865" s="4"/>
      <c r="P865" s="4"/>
      <c r="Q865" s="4"/>
      <c r="R865" s="4"/>
      <c r="S865" s="4"/>
      <c r="T865" s="4"/>
      <c r="U865" s="4"/>
      <c r="V865" s="4"/>
      <c r="W865" s="4"/>
      <c r="X865" s="4"/>
      <c r="Y865" s="4"/>
      <c r="Z865" s="4"/>
    </row>
    <row r="866" spans="1:26" ht="15.75" customHeight="1" x14ac:dyDescent="0.2">
      <c r="A866" s="1" t="s">
        <v>1724</v>
      </c>
      <c r="B866" s="1" t="s">
        <v>1725</v>
      </c>
      <c r="C866" s="5" t="str">
        <f ca="1">IFERROR(__xludf.DUMMYFUNCTION("REGEXEXTRACT($B866, $E$2)"),"oru")</f>
        <v>oru</v>
      </c>
      <c r="E866" s="4"/>
      <c r="F866" s="4"/>
      <c r="G866" s="4"/>
      <c r="H866" s="4"/>
      <c r="I866" s="4"/>
      <c r="J866" s="4"/>
      <c r="K866" s="4"/>
      <c r="L866" s="4"/>
      <c r="M866" s="4"/>
      <c r="N866" s="4"/>
      <c r="O866" s="4"/>
      <c r="P866" s="4"/>
      <c r="Q866" s="4"/>
      <c r="R866" s="4"/>
      <c r="S866" s="4"/>
      <c r="T866" s="4"/>
      <c r="U866" s="4"/>
      <c r="V866" s="4"/>
      <c r="W866" s="4"/>
      <c r="X866" s="4"/>
      <c r="Y866" s="4"/>
      <c r="Z866" s="4"/>
    </row>
    <row r="867" spans="1:26" ht="15.75" customHeight="1" x14ac:dyDescent="0.2">
      <c r="A867" s="1" t="s">
        <v>1726</v>
      </c>
      <c r="B867" s="1" t="s">
        <v>1727</v>
      </c>
      <c r="C867" s="5" t="str">
        <f ca="1">IFERROR(__xludf.DUMMYFUNCTION("REGEXEXTRACT($B867, $E$2)"),"ocac")</f>
        <v>ocac</v>
      </c>
      <c r="E867" s="4"/>
      <c r="F867" s="4"/>
      <c r="G867" s="4"/>
      <c r="H867" s="4"/>
      <c r="I867" s="4"/>
      <c r="J867" s="4"/>
      <c r="K867" s="4"/>
      <c r="L867" s="4"/>
      <c r="M867" s="4"/>
      <c r="N867" s="4"/>
      <c r="O867" s="4"/>
      <c r="P867" s="4"/>
      <c r="Q867" s="4"/>
      <c r="R867" s="4"/>
      <c r="S867" s="4"/>
      <c r="T867" s="4"/>
      <c r="U867" s="4"/>
      <c r="V867" s="4"/>
      <c r="W867" s="4"/>
      <c r="X867" s="4"/>
      <c r="Y867" s="4"/>
      <c r="Z867" s="4"/>
    </row>
    <row r="868" spans="1:26" ht="15.75" customHeight="1" x14ac:dyDescent="0.2">
      <c r="A868" s="1" t="s">
        <v>1728</v>
      </c>
      <c r="B868" s="1" t="s">
        <v>1729</v>
      </c>
      <c r="C868" s="5" t="str">
        <f ca="1">IFERROR(__xludf.DUMMYFUNCTION("REGEXEXTRACT($B868, $E$2)"),"oit")</f>
        <v>oit</v>
      </c>
      <c r="E868" s="4"/>
      <c r="F868" s="4"/>
      <c r="G868" s="4"/>
      <c r="H868" s="4"/>
      <c r="I868" s="4"/>
      <c r="J868" s="4"/>
      <c r="K868" s="4"/>
      <c r="L868" s="4"/>
      <c r="M868" s="4"/>
      <c r="N868" s="4"/>
      <c r="O868" s="4"/>
      <c r="P868" s="4"/>
      <c r="Q868" s="4"/>
      <c r="R868" s="4"/>
      <c r="S868" s="4"/>
      <c r="T868" s="4"/>
      <c r="U868" s="4"/>
      <c r="V868" s="4"/>
      <c r="W868" s="4"/>
      <c r="X868" s="4"/>
      <c r="Y868" s="4"/>
      <c r="Z868" s="4"/>
    </row>
    <row r="869" spans="1:26" ht="15.75" customHeight="1" x14ac:dyDescent="0.2">
      <c r="A869" s="1" t="s">
        <v>1730</v>
      </c>
      <c r="B869" s="1" t="s">
        <v>1731</v>
      </c>
      <c r="C869" s="5" t="str">
        <f ca="1">IFERROR(__xludf.DUMMYFUNCTION("REGEXEXTRACT($B869, $E$2)"),"oregonstate")</f>
        <v>oregonstate</v>
      </c>
      <c r="E869" s="4"/>
      <c r="F869" s="4"/>
      <c r="G869" s="4"/>
      <c r="H869" s="4"/>
      <c r="I869" s="4"/>
      <c r="J869" s="4"/>
      <c r="K869" s="4"/>
      <c r="L869" s="4"/>
      <c r="M869" s="4"/>
      <c r="N869" s="4"/>
      <c r="O869" s="4"/>
      <c r="P869" s="4"/>
      <c r="Q869" s="4"/>
      <c r="R869" s="4"/>
      <c r="S869" s="4"/>
      <c r="T869" s="4"/>
      <c r="U869" s="4"/>
      <c r="V869" s="4"/>
      <c r="W869" s="4"/>
      <c r="X869" s="4"/>
      <c r="Y869" s="4"/>
      <c r="Z869" s="4"/>
    </row>
    <row r="870" spans="1:26" ht="15.75" customHeight="1" x14ac:dyDescent="0.2">
      <c r="A870" s="1" t="s">
        <v>1732</v>
      </c>
      <c r="B870" s="1" t="s">
        <v>1733</v>
      </c>
      <c r="C870" s="5" t="str">
        <f ca="1">IFERROR(__xludf.DUMMYFUNCTION("REGEXEXTRACT($B870, $E$2)"),"otis")</f>
        <v>otis</v>
      </c>
      <c r="E870" s="4"/>
      <c r="F870" s="4"/>
      <c r="G870" s="4"/>
      <c r="H870" s="4"/>
      <c r="I870" s="4"/>
      <c r="J870" s="4"/>
      <c r="K870" s="4"/>
      <c r="L870" s="4"/>
      <c r="M870" s="4"/>
      <c r="N870" s="4"/>
      <c r="O870" s="4"/>
      <c r="P870" s="4"/>
      <c r="Q870" s="4"/>
      <c r="R870" s="4"/>
      <c r="S870" s="4"/>
      <c r="T870" s="4"/>
      <c r="U870" s="4"/>
      <c r="V870" s="4"/>
      <c r="W870" s="4"/>
      <c r="X870" s="4"/>
      <c r="Y870" s="4"/>
      <c r="Z870" s="4"/>
    </row>
    <row r="871" spans="1:26" ht="15.75" customHeight="1" x14ac:dyDescent="0.2">
      <c r="A871" s="1" t="s">
        <v>1734</v>
      </c>
      <c r="B871" s="1" t="s">
        <v>1735</v>
      </c>
      <c r="C871" s="5" t="str">
        <f ca="1">IFERROR(__xludf.DUMMYFUNCTION("REGEXEXTRACT($B871, $E$2)"),"ottawa")</f>
        <v>ottawa</v>
      </c>
      <c r="E871" s="4"/>
      <c r="F871" s="4"/>
      <c r="G871" s="4"/>
      <c r="H871" s="4"/>
      <c r="I871" s="4"/>
      <c r="J871" s="4"/>
      <c r="K871" s="4"/>
      <c r="L871" s="4"/>
      <c r="M871" s="4"/>
      <c r="N871" s="4"/>
      <c r="O871" s="4"/>
      <c r="P871" s="4"/>
      <c r="Q871" s="4"/>
      <c r="R871" s="4"/>
      <c r="S871" s="4"/>
      <c r="T871" s="4"/>
      <c r="U871" s="4"/>
      <c r="V871" s="4"/>
      <c r="W871" s="4"/>
      <c r="X871" s="4"/>
      <c r="Y871" s="4"/>
      <c r="Z871" s="4"/>
    </row>
    <row r="872" spans="1:26" ht="15.75" customHeight="1" x14ac:dyDescent="0.2">
      <c r="A872" s="1" t="s">
        <v>1736</v>
      </c>
      <c r="B872" s="1" t="s">
        <v>1737</v>
      </c>
      <c r="C872" s="5" t="str">
        <f ca="1">IFERROR(__xludf.DUMMYFUNCTION("REGEXEXTRACT($B872, $E$2)"),"otterbein")</f>
        <v>otterbein</v>
      </c>
      <c r="E872" s="4"/>
      <c r="F872" s="4"/>
      <c r="G872" s="4"/>
      <c r="H872" s="4"/>
      <c r="I872" s="4"/>
      <c r="J872" s="4"/>
      <c r="K872" s="4"/>
      <c r="L872" s="4"/>
      <c r="M872" s="4"/>
      <c r="N872" s="4"/>
      <c r="O872" s="4"/>
      <c r="P872" s="4"/>
      <c r="Q872" s="4"/>
      <c r="R872" s="4"/>
      <c r="S872" s="4"/>
      <c r="T872" s="4"/>
      <c r="U872" s="4"/>
      <c r="V872" s="4"/>
      <c r="W872" s="4"/>
      <c r="X872" s="4"/>
      <c r="Y872" s="4"/>
      <c r="Z872" s="4"/>
    </row>
    <row r="873" spans="1:26" ht="15.75" customHeight="1" x14ac:dyDescent="0.2">
      <c r="A873" s="1" t="s">
        <v>1738</v>
      </c>
      <c r="B873" s="1" t="s">
        <v>1739</v>
      </c>
      <c r="C873" s="5" t="str">
        <f ca="1">IFERROR(__xludf.DUMMYFUNCTION("REGEXEXTRACT($B873, $E$2)"),"obu")</f>
        <v>obu</v>
      </c>
      <c r="E873" s="4"/>
      <c r="F873" s="4"/>
      <c r="G873" s="4"/>
      <c r="H873" s="4"/>
      <c r="I873" s="4"/>
      <c r="J873" s="4"/>
      <c r="K873" s="4"/>
      <c r="L873" s="4"/>
      <c r="M873" s="4"/>
      <c r="N873" s="4"/>
      <c r="O873" s="4"/>
      <c r="P873" s="4"/>
      <c r="Q873" s="4"/>
      <c r="R873" s="4"/>
      <c r="S873" s="4"/>
      <c r="T873" s="4"/>
      <c r="U873" s="4"/>
      <c r="V873" s="4"/>
      <c r="W873" s="4"/>
      <c r="X873" s="4"/>
      <c r="Y873" s="4"/>
      <c r="Z873" s="4"/>
    </row>
    <row r="874" spans="1:26" ht="15.75" customHeight="1" x14ac:dyDescent="0.2">
      <c r="A874" s="1" t="s">
        <v>1740</v>
      </c>
      <c r="B874" s="1" t="s">
        <v>1741</v>
      </c>
      <c r="C874" s="5" t="str">
        <f ca="1">IFERROR(__xludf.DUMMYFUNCTION("REGEXEXTRACT($B874, $E$2)"),"ollusa")</f>
        <v>ollusa</v>
      </c>
      <c r="E874" s="4"/>
      <c r="F874" s="4"/>
      <c r="G874" s="4"/>
      <c r="H874" s="4"/>
      <c r="I874" s="4"/>
      <c r="J874" s="4"/>
      <c r="K874" s="4"/>
      <c r="L874" s="4"/>
      <c r="M874" s="4"/>
      <c r="N874" s="4"/>
      <c r="O874" s="4"/>
      <c r="P874" s="4"/>
      <c r="Q874" s="4"/>
      <c r="R874" s="4"/>
      <c r="S874" s="4"/>
      <c r="T874" s="4"/>
      <c r="U874" s="4"/>
      <c r="V874" s="4"/>
      <c r="W874" s="4"/>
      <c r="X874" s="4"/>
      <c r="Y874" s="4"/>
      <c r="Z874" s="4"/>
    </row>
    <row r="875" spans="1:26" ht="15.75" customHeight="1" x14ac:dyDescent="0.2">
      <c r="A875" s="1" t="s">
        <v>1742</v>
      </c>
      <c r="B875" s="1" t="s">
        <v>1743</v>
      </c>
      <c r="C875" s="5" t="str">
        <f ca="1">IFERROR(__xludf.DUMMYFUNCTION("REGEXEXTRACT($B875, $E$2)"),"pace")</f>
        <v>pace</v>
      </c>
      <c r="E875" s="4"/>
      <c r="F875" s="4"/>
      <c r="G875" s="4"/>
      <c r="H875" s="4"/>
      <c r="I875" s="4"/>
      <c r="J875" s="4"/>
      <c r="K875" s="4"/>
      <c r="L875" s="4"/>
      <c r="M875" s="4"/>
      <c r="N875" s="4"/>
      <c r="O875" s="4"/>
      <c r="P875" s="4"/>
      <c r="Q875" s="4"/>
      <c r="R875" s="4"/>
      <c r="S875" s="4"/>
      <c r="T875" s="4"/>
      <c r="U875" s="4"/>
      <c r="V875" s="4"/>
      <c r="W875" s="4"/>
      <c r="X875" s="4"/>
      <c r="Y875" s="4"/>
      <c r="Z875" s="4"/>
    </row>
    <row r="876" spans="1:26" ht="15.75" customHeight="1" x14ac:dyDescent="0.2">
      <c r="A876" s="1" t="s">
        <v>1744</v>
      </c>
      <c r="B876" s="1" t="s">
        <v>1745</v>
      </c>
      <c r="C876" s="5" t="str">
        <f ca="1">IFERROR(__xludf.DUMMYFUNCTION("REGEXEXTRACT($B876, $E$2)"),"plu")</f>
        <v>plu</v>
      </c>
      <c r="E876" s="4"/>
      <c r="F876" s="4"/>
      <c r="G876" s="4"/>
      <c r="H876" s="4"/>
      <c r="I876" s="4"/>
      <c r="J876" s="4"/>
      <c r="K876" s="4"/>
      <c r="L876" s="4"/>
      <c r="M876" s="4"/>
      <c r="N876" s="4"/>
      <c r="O876" s="4"/>
      <c r="P876" s="4"/>
      <c r="Q876" s="4"/>
      <c r="R876" s="4"/>
      <c r="S876" s="4"/>
      <c r="T876" s="4"/>
      <c r="U876" s="4"/>
      <c r="V876" s="4"/>
      <c r="W876" s="4"/>
      <c r="X876" s="4"/>
      <c r="Y876" s="4"/>
      <c r="Z876" s="4"/>
    </row>
    <row r="877" spans="1:26" ht="15.75" customHeight="1" x14ac:dyDescent="0.2">
      <c r="A877" s="1" t="s">
        <v>1746</v>
      </c>
      <c r="B877" s="1" t="s">
        <v>1747</v>
      </c>
      <c r="C877" s="5" t="str">
        <f ca="1">IFERROR(__xludf.DUMMYFUNCTION("REGEXEXTRACT($B877, $E$2)"),"pnca")</f>
        <v>pnca</v>
      </c>
      <c r="E877" s="4"/>
      <c r="F877" s="4"/>
      <c r="G877" s="4"/>
      <c r="H877" s="4"/>
      <c r="I877" s="4"/>
      <c r="J877" s="4"/>
      <c r="K877" s="4"/>
      <c r="L877" s="4"/>
      <c r="M877" s="4"/>
      <c r="N877" s="4"/>
      <c r="O877" s="4"/>
      <c r="P877" s="4"/>
      <c r="Q877" s="4"/>
      <c r="R877" s="4"/>
      <c r="S877" s="4"/>
      <c r="T877" s="4"/>
      <c r="U877" s="4"/>
      <c r="V877" s="4"/>
      <c r="W877" s="4"/>
      <c r="X877" s="4"/>
      <c r="Y877" s="4"/>
      <c r="Z877" s="4"/>
    </row>
    <row r="878" spans="1:26" ht="15.75" customHeight="1" x14ac:dyDescent="0.2">
      <c r="A878" s="1" t="s">
        <v>1748</v>
      </c>
      <c r="B878" s="1" t="s">
        <v>1749</v>
      </c>
      <c r="C878" s="5" t="str">
        <f ca="1">IFERROR(__xludf.DUMMYFUNCTION("REGEXEXTRACT($B878, $E$2)"),"pacificoaks")</f>
        <v>pacificoaks</v>
      </c>
      <c r="E878" s="4"/>
      <c r="F878" s="4"/>
      <c r="G878" s="4"/>
      <c r="H878" s="4"/>
      <c r="I878" s="4"/>
      <c r="J878" s="4"/>
      <c r="K878" s="4"/>
      <c r="L878" s="4"/>
      <c r="M878" s="4"/>
      <c r="N878" s="4"/>
      <c r="O878" s="4"/>
      <c r="P878" s="4"/>
      <c r="Q878" s="4"/>
      <c r="R878" s="4"/>
      <c r="S878" s="4"/>
      <c r="T878" s="4"/>
      <c r="U878" s="4"/>
      <c r="V878" s="4"/>
      <c r="W878" s="4"/>
      <c r="X878" s="4"/>
      <c r="Y878" s="4"/>
      <c r="Z878" s="4"/>
    </row>
    <row r="879" spans="1:26" ht="15.75" customHeight="1" x14ac:dyDescent="0.2">
      <c r="A879" s="1" t="s">
        <v>1750</v>
      </c>
      <c r="B879" s="1" t="s">
        <v>1751</v>
      </c>
      <c r="C879" s="5" t="str">
        <f ca="1">IFERROR(__xludf.DUMMYFUNCTION("REGEXEXTRACT($B879, $E$2)"),"puc")</f>
        <v>puc</v>
      </c>
      <c r="E879" s="4"/>
      <c r="F879" s="4"/>
      <c r="G879" s="4"/>
      <c r="H879" s="4"/>
      <c r="I879" s="4"/>
      <c r="J879" s="4"/>
      <c r="K879" s="4"/>
      <c r="L879" s="4"/>
      <c r="M879" s="4"/>
      <c r="N879" s="4"/>
      <c r="O879" s="4"/>
      <c r="P879" s="4"/>
      <c r="Q879" s="4"/>
      <c r="R879" s="4"/>
      <c r="S879" s="4"/>
      <c r="T879" s="4"/>
      <c r="U879" s="4"/>
      <c r="V879" s="4"/>
      <c r="W879" s="4"/>
      <c r="X879" s="4"/>
      <c r="Y879" s="4"/>
      <c r="Z879" s="4"/>
    </row>
    <row r="880" spans="1:26" ht="15.75" customHeight="1" x14ac:dyDescent="0.2">
      <c r="A880" s="1" t="s">
        <v>1752</v>
      </c>
      <c r="B880" s="1" t="s">
        <v>1753</v>
      </c>
      <c r="C880" s="5" t="str">
        <f ca="1">IFERROR(__xludf.DUMMYFUNCTION("REGEXEXTRACT($B880, $E$2)"),"pacificu")</f>
        <v>pacificu</v>
      </c>
      <c r="E880" s="4"/>
      <c r="F880" s="4"/>
      <c r="G880" s="4"/>
      <c r="H880" s="4"/>
      <c r="I880" s="4"/>
      <c r="J880" s="4"/>
      <c r="K880" s="4"/>
      <c r="L880" s="4"/>
      <c r="M880" s="4"/>
      <c r="N880" s="4"/>
      <c r="O880" s="4"/>
      <c r="P880" s="4"/>
      <c r="Q880" s="4"/>
      <c r="R880" s="4"/>
      <c r="S880" s="4"/>
      <c r="T880" s="4"/>
      <c r="U880" s="4"/>
      <c r="V880" s="4"/>
      <c r="W880" s="4"/>
      <c r="X880" s="4"/>
      <c r="Y880" s="4"/>
      <c r="Z880" s="4"/>
    </row>
    <row r="881" spans="1:26" ht="15.75" customHeight="1" x14ac:dyDescent="0.2">
      <c r="A881" s="1" t="s">
        <v>1754</v>
      </c>
      <c r="B881" s="1" t="s">
        <v>1755</v>
      </c>
      <c r="C881" s="5" t="str">
        <f ca="1">IFERROR(__xludf.DUMMYFUNCTION("REGEXEXTRACT($B881, $E$2)"),"paine")</f>
        <v>paine</v>
      </c>
      <c r="E881" s="4"/>
      <c r="F881" s="4"/>
      <c r="G881" s="4"/>
      <c r="H881" s="4"/>
      <c r="I881" s="4"/>
      <c r="J881" s="4"/>
      <c r="K881" s="4"/>
      <c r="L881" s="4"/>
      <c r="M881" s="4"/>
      <c r="N881" s="4"/>
      <c r="O881" s="4"/>
      <c r="P881" s="4"/>
      <c r="Q881" s="4"/>
      <c r="R881" s="4"/>
      <c r="S881" s="4"/>
      <c r="T881" s="4"/>
      <c r="U881" s="4"/>
      <c r="V881" s="4"/>
      <c r="W881" s="4"/>
      <c r="X881" s="4"/>
      <c r="Y881" s="4"/>
      <c r="Z881" s="4"/>
    </row>
    <row r="882" spans="1:26" ht="15.75" customHeight="1" x14ac:dyDescent="0.2">
      <c r="A882" s="1" t="s">
        <v>1756</v>
      </c>
      <c r="B882" s="1" t="s">
        <v>1757</v>
      </c>
      <c r="C882" s="5" t="str">
        <f ca="1">IFERROR(__xludf.DUMMYFUNCTION("REGEXEXTRACT($B882, $E$2)"),"pba")</f>
        <v>pba</v>
      </c>
      <c r="E882" s="4"/>
      <c r="F882" s="4"/>
      <c r="G882" s="4"/>
      <c r="H882" s="4"/>
      <c r="I882" s="4"/>
      <c r="J882" s="4"/>
      <c r="K882" s="4"/>
      <c r="L882" s="4"/>
      <c r="M882" s="4"/>
      <c r="N882" s="4"/>
      <c r="O882" s="4"/>
      <c r="P882" s="4"/>
      <c r="Q882" s="4"/>
      <c r="R882" s="4"/>
      <c r="S882" s="4"/>
      <c r="T882" s="4"/>
      <c r="U882" s="4"/>
      <c r="V882" s="4"/>
      <c r="W882" s="4"/>
      <c r="X882" s="4"/>
      <c r="Y882" s="4"/>
      <c r="Z882" s="4"/>
    </row>
    <row r="883" spans="1:26" ht="15.75" customHeight="1" x14ac:dyDescent="0.2">
      <c r="A883" s="1" t="s">
        <v>1758</v>
      </c>
      <c r="B883" s="1" t="s">
        <v>1759</v>
      </c>
      <c r="C883" s="5" t="str">
        <f ca="1">IFERROR(__xludf.DUMMYFUNCTION("REGEXEXTRACT($B883, $E$2)"),"park")</f>
        <v>park</v>
      </c>
      <c r="E883" s="4"/>
      <c r="F883" s="4"/>
      <c r="G883" s="4"/>
      <c r="H883" s="4"/>
      <c r="I883" s="4"/>
      <c r="J883" s="4"/>
      <c r="K883" s="4"/>
      <c r="L883" s="4"/>
      <c r="M883" s="4"/>
      <c r="N883" s="4"/>
      <c r="O883" s="4"/>
      <c r="P883" s="4"/>
      <c r="Q883" s="4"/>
      <c r="R883" s="4"/>
      <c r="S883" s="4"/>
      <c r="T883" s="4"/>
      <c r="U883" s="4"/>
      <c r="V883" s="4"/>
      <c r="W883" s="4"/>
      <c r="X883" s="4"/>
      <c r="Y883" s="4"/>
      <c r="Z883" s="4"/>
    </row>
    <row r="884" spans="1:26" ht="15.75" customHeight="1" x14ac:dyDescent="0.2">
      <c r="A884" s="1" t="s">
        <v>1760</v>
      </c>
      <c r="B884" s="1" t="s">
        <v>1761</v>
      </c>
      <c r="C884" s="5" t="str">
        <f ca="1">IFERROR(__xludf.DUMMYFUNCTION("REGEXEXTRACT($B884, $E$2)"),"phc")</f>
        <v>phc</v>
      </c>
      <c r="E884" s="4"/>
      <c r="F884" s="4"/>
      <c r="G884" s="4"/>
      <c r="H884" s="4"/>
      <c r="I884" s="4"/>
      <c r="J884" s="4"/>
      <c r="K884" s="4"/>
      <c r="L884" s="4"/>
      <c r="M884" s="4"/>
      <c r="N884" s="4"/>
      <c r="O884" s="4"/>
      <c r="P884" s="4"/>
      <c r="Q884" s="4"/>
      <c r="R884" s="4"/>
      <c r="S884" s="4"/>
      <c r="T884" s="4"/>
      <c r="U884" s="4"/>
      <c r="V884" s="4"/>
      <c r="W884" s="4"/>
      <c r="X884" s="4"/>
      <c r="Y884" s="4"/>
      <c r="Z884" s="4"/>
    </row>
    <row r="885" spans="1:26" ht="15.75" customHeight="1" x14ac:dyDescent="0.2">
      <c r="A885" s="1" t="s">
        <v>1762</v>
      </c>
      <c r="B885" s="1" t="s">
        <v>1763</v>
      </c>
      <c r="C885" s="5" t="str">
        <f ca="1">IFERROR(__xludf.DUMMYFUNCTION("REGEXEXTRACT($B885, $E$2)"),"pqc")</f>
        <v>pqc</v>
      </c>
      <c r="E885" s="4"/>
      <c r="F885" s="4"/>
      <c r="G885" s="4"/>
      <c r="H885" s="4"/>
      <c r="I885" s="4"/>
      <c r="J885" s="4"/>
      <c r="K885" s="4"/>
      <c r="L885" s="4"/>
      <c r="M885" s="4"/>
      <c r="N885" s="4"/>
      <c r="O885" s="4"/>
      <c r="P885" s="4"/>
      <c r="Q885" s="4"/>
      <c r="R885" s="4"/>
      <c r="S885" s="4"/>
      <c r="T885" s="4"/>
      <c r="U885" s="4"/>
      <c r="V885" s="4"/>
      <c r="W885" s="4"/>
      <c r="X885" s="4"/>
      <c r="Y885" s="4"/>
      <c r="Z885" s="4"/>
    </row>
    <row r="886" spans="1:26" ht="15.75" customHeight="1" x14ac:dyDescent="0.2">
      <c r="A886" s="1" t="s">
        <v>1764</v>
      </c>
      <c r="B886" s="1" t="s">
        <v>1765</v>
      </c>
      <c r="C886" s="5" t="str">
        <f ca="1">IFERROR(__xludf.DUMMYFUNCTION("REGEXEXTRACT($B886, $E$2)"),"paulsmiths")</f>
        <v>paulsmiths</v>
      </c>
      <c r="E886" s="4"/>
      <c r="F886" s="4"/>
      <c r="G886" s="4"/>
      <c r="H886" s="4"/>
      <c r="I886" s="4"/>
      <c r="J886" s="4"/>
      <c r="K886" s="4"/>
      <c r="L886" s="4"/>
      <c r="M886" s="4"/>
      <c r="N886" s="4"/>
      <c r="O886" s="4"/>
      <c r="P886" s="4"/>
      <c r="Q886" s="4"/>
      <c r="R886" s="4"/>
      <c r="S886" s="4"/>
      <c r="T886" s="4"/>
      <c r="U886" s="4"/>
      <c r="V886" s="4"/>
      <c r="W886" s="4"/>
      <c r="X886" s="4"/>
      <c r="Y886" s="4"/>
      <c r="Z886" s="4"/>
    </row>
    <row r="887" spans="1:26" ht="15.75" customHeight="1" x14ac:dyDescent="0.2">
      <c r="A887" s="1" t="s">
        <v>1766</v>
      </c>
      <c r="B887" s="1" t="s">
        <v>1767</v>
      </c>
      <c r="C887" s="5" t="str">
        <f ca="1">IFERROR(__xludf.DUMMYFUNCTION("REGEXEXTRACT($B887, $E$2)"),"peirce")</f>
        <v>peirce</v>
      </c>
      <c r="E887" s="4"/>
      <c r="F887" s="4"/>
      <c r="G887" s="4"/>
      <c r="H887" s="4"/>
      <c r="I887" s="4"/>
      <c r="J887" s="4"/>
      <c r="K887" s="4"/>
      <c r="L887" s="4"/>
      <c r="M887" s="4"/>
      <c r="N887" s="4"/>
      <c r="O887" s="4"/>
      <c r="P887" s="4"/>
      <c r="Q887" s="4"/>
      <c r="R887" s="4"/>
      <c r="S887" s="4"/>
      <c r="T887" s="4"/>
      <c r="U887" s="4"/>
      <c r="V887" s="4"/>
      <c r="W887" s="4"/>
      <c r="X887" s="4"/>
      <c r="Y887" s="4"/>
      <c r="Z887" s="4"/>
    </row>
    <row r="888" spans="1:26" ht="15.75" customHeight="1" x14ac:dyDescent="0.2">
      <c r="A888" s="1" t="s">
        <v>1768</v>
      </c>
      <c r="B888" s="1" t="s">
        <v>1769</v>
      </c>
      <c r="C888" s="5" t="str">
        <f ca="1">IFERROR(__xludf.DUMMYFUNCTION("REGEXEXTRACT($B888, $E$2)"),"psu")</f>
        <v>psu</v>
      </c>
      <c r="E888" s="4"/>
      <c r="F888" s="4"/>
      <c r="G888" s="4"/>
      <c r="H888" s="4"/>
      <c r="I888" s="4"/>
      <c r="J888" s="4"/>
      <c r="K888" s="4"/>
      <c r="L888" s="4"/>
      <c r="M888" s="4"/>
      <c r="N888" s="4"/>
      <c r="O888" s="4"/>
      <c r="P888" s="4"/>
      <c r="Q888" s="4"/>
      <c r="R888" s="4"/>
      <c r="S888" s="4"/>
      <c r="T888" s="4"/>
      <c r="U888" s="4"/>
      <c r="V888" s="4"/>
      <c r="W888" s="4"/>
      <c r="X888" s="4"/>
      <c r="Y888" s="4"/>
      <c r="Z888" s="4"/>
    </row>
    <row r="889" spans="1:26" ht="15.75" customHeight="1" x14ac:dyDescent="0.2">
      <c r="A889" s="1" t="s">
        <v>1770</v>
      </c>
      <c r="B889" s="1" t="s">
        <v>1771</v>
      </c>
      <c r="C889" s="5" t="str">
        <f ca="1">IFERROR(__xludf.DUMMYFUNCTION("REGEXEXTRACT($B889, $E$2)"),"pafa")</f>
        <v>pafa</v>
      </c>
      <c r="E889" s="4"/>
      <c r="F889" s="4"/>
      <c r="G889" s="4"/>
      <c r="H889" s="4"/>
      <c r="I889" s="4"/>
      <c r="J889" s="4"/>
      <c r="K889" s="4"/>
      <c r="L889" s="4"/>
      <c r="M889" s="4"/>
      <c r="N889" s="4"/>
      <c r="O889" s="4"/>
      <c r="P889" s="4"/>
      <c r="Q889" s="4"/>
      <c r="R889" s="4"/>
      <c r="S889" s="4"/>
      <c r="T889" s="4"/>
      <c r="U889" s="4"/>
      <c r="V889" s="4"/>
      <c r="W889" s="4"/>
      <c r="X889" s="4"/>
      <c r="Y889" s="4"/>
      <c r="Z889" s="4"/>
    </row>
    <row r="890" spans="1:26" ht="15.75" customHeight="1" x14ac:dyDescent="0.2">
      <c r="A890" s="1" t="s">
        <v>1772</v>
      </c>
      <c r="B890" s="1" t="s">
        <v>1773</v>
      </c>
      <c r="C890" s="5" t="str">
        <f ca="1">IFERROR(__xludf.DUMMYFUNCTION("REGEXEXTRACT($B890, $E$2)"),"pct")</f>
        <v>pct</v>
      </c>
      <c r="E890" s="4"/>
      <c r="F890" s="4"/>
      <c r="G890" s="4"/>
      <c r="H890" s="4"/>
      <c r="I890" s="4"/>
      <c r="J890" s="4"/>
      <c r="K890" s="4"/>
      <c r="L890" s="4"/>
      <c r="M890" s="4"/>
      <c r="N890" s="4"/>
      <c r="O890" s="4"/>
      <c r="P890" s="4"/>
      <c r="Q890" s="4"/>
      <c r="R890" s="4"/>
      <c r="S890" s="4"/>
      <c r="T890" s="4"/>
      <c r="U890" s="4"/>
      <c r="V890" s="4"/>
      <c r="W890" s="4"/>
      <c r="X890" s="4"/>
      <c r="Y890" s="4"/>
      <c r="Z890" s="4"/>
    </row>
    <row r="891" spans="1:26" ht="15.75" customHeight="1" x14ac:dyDescent="0.2">
      <c r="A891" s="1" t="s">
        <v>1774</v>
      </c>
      <c r="B891" s="1" t="s">
        <v>1775</v>
      </c>
      <c r="C891" s="5" t="str">
        <f ca="1">IFERROR(__xludf.DUMMYFUNCTION("REGEXEXTRACT($B891, $E$2)"),"pepperdine")</f>
        <v>pepperdine</v>
      </c>
      <c r="E891" s="4"/>
      <c r="F891" s="4"/>
      <c r="G891" s="4"/>
      <c r="H891" s="4"/>
      <c r="I891" s="4"/>
      <c r="J891" s="4"/>
      <c r="K891" s="4"/>
      <c r="L891" s="4"/>
      <c r="M891" s="4"/>
      <c r="N891" s="4"/>
      <c r="O891" s="4"/>
      <c r="P891" s="4"/>
      <c r="Q891" s="4"/>
      <c r="R891" s="4"/>
      <c r="S891" s="4"/>
      <c r="T891" s="4"/>
      <c r="U891" s="4"/>
      <c r="V891" s="4"/>
      <c r="W891" s="4"/>
      <c r="X891" s="4"/>
      <c r="Y891" s="4"/>
      <c r="Z891" s="4"/>
    </row>
    <row r="892" spans="1:26" ht="15.75" customHeight="1" x14ac:dyDescent="0.2">
      <c r="A892" s="1" t="s">
        <v>1776</v>
      </c>
      <c r="B892" s="1" t="s">
        <v>1777</v>
      </c>
      <c r="C892" s="5" t="str">
        <f ca="1">IFERROR(__xludf.DUMMYFUNCTION("REGEXEXTRACT($B892, $E$2)"),"peru")</f>
        <v>peru</v>
      </c>
      <c r="E892" s="4"/>
      <c r="F892" s="4"/>
      <c r="G892" s="4"/>
      <c r="H892" s="4"/>
      <c r="I892" s="4"/>
      <c r="J892" s="4"/>
      <c r="K892" s="4"/>
      <c r="L892" s="4"/>
      <c r="M892" s="4"/>
      <c r="N892" s="4"/>
      <c r="O892" s="4"/>
      <c r="P892" s="4"/>
      <c r="Q892" s="4"/>
      <c r="R892" s="4"/>
      <c r="S892" s="4"/>
      <c r="T892" s="4"/>
      <c r="U892" s="4"/>
      <c r="V892" s="4"/>
      <c r="W892" s="4"/>
      <c r="X892" s="4"/>
      <c r="Y892" s="4"/>
      <c r="Z892" s="4"/>
    </row>
    <row r="893" spans="1:26" ht="15.75" customHeight="1" x14ac:dyDescent="0.2">
      <c r="A893" s="1" t="s">
        <v>1778</v>
      </c>
      <c r="B893" s="1" t="s">
        <v>1779</v>
      </c>
      <c r="C893" s="5" t="str">
        <f ca="1">IFERROR(__xludf.DUMMYFUNCTION("REGEXEXTRACT($B893, $E$2)"),"pfeiffer")</f>
        <v>pfeiffer</v>
      </c>
      <c r="E893" s="4"/>
      <c r="F893" s="4"/>
      <c r="G893" s="4"/>
      <c r="H893" s="4"/>
      <c r="I893" s="4"/>
      <c r="J893" s="4"/>
      <c r="K893" s="4"/>
      <c r="L893" s="4"/>
      <c r="M893" s="4"/>
      <c r="N893" s="4"/>
      <c r="O893" s="4"/>
      <c r="P893" s="4"/>
      <c r="Q893" s="4"/>
      <c r="R893" s="4"/>
      <c r="S893" s="4"/>
      <c r="T893" s="4"/>
      <c r="U893" s="4"/>
      <c r="V893" s="4"/>
      <c r="W893" s="4"/>
      <c r="X893" s="4"/>
      <c r="Y893" s="4"/>
      <c r="Z893" s="4"/>
    </row>
    <row r="894" spans="1:26" ht="15.75" customHeight="1" x14ac:dyDescent="0.2">
      <c r="A894" s="1" t="s">
        <v>1780</v>
      </c>
      <c r="B894" s="1" t="s">
        <v>1781</v>
      </c>
      <c r="C894" s="5" t="str">
        <f ca="1">IFERROR(__xludf.DUMMYFUNCTION("REGEXEXTRACT($B894, $E$2)"),"philander")</f>
        <v>philander</v>
      </c>
      <c r="E894" s="4"/>
      <c r="F894" s="4"/>
      <c r="G894" s="4"/>
      <c r="H894" s="4"/>
      <c r="I894" s="4"/>
      <c r="J894" s="4"/>
      <c r="K894" s="4"/>
      <c r="L894" s="4"/>
      <c r="M894" s="4"/>
      <c r="N894" s="4"/>
      <c r="O894" s="4"/>
      <c r="P894" s="4"/>
      <c r="Q894" s="4"/>
      <c r="R894" s="4"/>
      <c r="S894" s="4"/>
      <c r="T894" s="4"/>
      <c r="U894" s="4"/>
      <c r="V894" s="4"/>
      <c r="W894" s="4"/>
      <c r="X894" s="4"/>
      <c r="Y894" s="4"/>
      <c r="Z894" s="4"/>
    </row>
    <row r="895" spans="1:26" ht="15.75" customHeight="1" x14ac:dyDescent="0.2">
      <c r="A895" s="1" t="s">
        <v>1782</v>
      </c>
      <c r="B895" s="1" t="s">
        <v>1783</v>
      </c>
      <c r="C895" s="5" t="str">
        <f ca="1">IFERROR(__xludf.DUMMYFUNCTION("REGEXEXTRACT($B895, $E$2)"),"piedmont")</f>
        <v>piedmont</v>
      </c>
      <c r="E895" s="4"/>
      <c r="F895" s="4"/>
      <c r="G895" s="4"/>
      <c r="H895" s="4"/>
      <c r="I895" s="4"/>
      <c r="J895" s="4"/>
      <c r="K895" s="4"/>
      <c r="L895" s="4"/>
      <c r="M895" s="4"/>
      <c r="N895" s="4"/>
      <c r="O895" s="4"/>
      <c r="P895" s="4"/>
      <c r="Q895" s="4"/>
      <c r="R895" s="4"/>
      <c r="S895" s="4"/>
      <c r="T895" s="4"/>
      <c r="U895" s="4"/>
      <c r="V895" s="4"/>
      <c r="W895" s="4"/>
      <c r="X895" s="4"/>
      <c r="Y895" s="4"/>
      <c r="Z895" s="4"/>
    </row>
    <row r="896" spans="1:26" ht="15.75" customHeight="1" x14ac:dyDescent="0.2">
      <c r="A896" s="1" t="s">
        <v>1784</v>
      </c>
      <c r="B896" s="1" t="s">
        <v>1785</v>
      </c>
      <c r="C896" s="5" t="str">
        <f ca="1">IFERROR(__xludf.DUMMYFUNCTION("REGEXEXTRACT($B896, $E$2)"),"piedmontu")</f>
        <v>piedmontu</v>
      </c>
      <c r="E896" s="4"/>
      <c r="F896" s="4"/>
      <c r="G896" s="4"/>
      <c r="H896" s="4"/>
      <c r="I896" s="4"/>
      <c r="J896" s="4"/>
      <c r="K896" s="4"/>
      <c r="L896" s="4"/>
      <c r="M896" s="4"/>
      <c r="N896" s="4"/>
      <c r="O896" s="4"/>
      <c r="P896" s="4"/>
      <c r="Q896" s="4"/>
      <c r="R896" s="4"/>
      <c r="S896" s="4"/>
      <c r="T896" s="4"/>
      <c r="U896" s="4"/>
      <c r="V896" s="4"/>
      <c r="W896" s="4"/>
      <c r="X896" s="4"/>
      <c r="Y896" s="4"/>
      <c r="Z896" s="4"/>
    </row>
    <row r="897" spans="1:26" ht="15.75" customHeight="1" x14ac:dyDescent="0.2">
      <c r="A897" s="1" t="s">
        <v>1786</v>
      </c>
      <c r="B897" s="1" t="s">
        <v>1787</v>
      </c>
      <c r="C897" s="5" t="str">
        <f ca="1">IFERROR(__xludf.DUMMYFUNCTION("REGEXEXTRACT($B897, $E$2)"),"pmc")</f>
        <v>pmc</v>
      </c>
      <c r="E897" s="4"/>
      <c r="F897" s="4"/>
      <c r="G897" s="4"/>
      <c r="H897" s="4"/>
      <c r="I897" s="4"/>
      <c r="J897" s="4"/>
      <c r="K897" s="4"/>
      <c r="L897" s="4"/>
      <c r="M897" s="4"/>
      <c r="N897" s="4"/>
      <c r="O897" s="4"/>
      <c r="P897" s="4"/>
      <c r="Q897" s="4"/>
      <c r="R897" s="4"/>
      <c r="S897" s="4"/>
      <c r="T897" s="4"/>
      <c r="U897" s="4"/>
      <c r="V897" s="4"/>
      <c r="W897" s="4"/>
      <c r="X897" s="4"/>
      <c r="Y897" s="4"/>
      <c r="Z897" s="4"/>
    </row>
    <row r="898" spans="1:26" ht="15.75" customHeight="1" x14ac:dyDescent="0.2">
      <c r="A898" s="1" t="s">
        <v>1788</v>
      </c>
      <c r="B898" s="1" t="s">
        <v>1789</v>
      </c>
      <c r="C898" s="5" t="str">
        <f ca="1">IFERROR(__xludf.DUMMYFUNCTION("REGEXEXTRACT($B898, $E$2)"),"pittstate")</f>
        <v>pittstate</v>
      </c>
      <c r="E898" s="4"/>
      <c r="F898" s="4"/>
      <c r="G898" s="4"/>
      <c r="H898" s="4"/>
      <c r="I898" s="4"/>
      <c r="J898" s="4"/>
      <c r="K898" s="4"/>
      <c r="L898" s="4"/>
      <c r="M898" s="4"/>
      <c r="N898" s="4"/>
      <c r="O898" s="4"/>
      <c r="P898" s="4"/>
      <c r="Q898" s="4"/>
      <c r="R898" s="4"/>
      <c r="S898" s="4"/>
      <c r="T898" s="4"/>
      <c r="U898" s="4"/>
      <c r="V898" s="4"/>
      <c r="W898" s="4"/>
      <c r="X898" s="4"/>
      <c r="Y898" s="4"/>
      <c r="Z898" s="4"/>
    </row>
    <row r="899" spans="1:26" ht="15.75" customHeight="1" x14ac:dyDescent="0.2">
      <c r="A899" s="1" t="s">
        <v>1790</v>
      </c>
      <c r="B899" s="1" t="s">
        <v>1791</v>
      </c>
      <c r="C899" s="5" t="str">
        <f ca="1">IFERROR(__xludf.DUMMYFUNCTION("REGEXEXTRACT($B899, $E$2)"),"pitzer")</f>
        <v>pitzer</v>
      </c>
      <c r="E899" s="4"/>
      <c r="F899" s="4"/>
      <c r="G899" s="4"/>
      <c r="H899" s="4"/>
      <c r="I899" s="4"/>
      <c r="J899" s="4"/>
      <c r="K899" s="4"/>
      <c r="L899" s="4"/>
      <c r="M899" s="4"/>
      <c r="N899" s="4"/>
      <c r="O899" s="4"/>
      <c r="P899" s="4"/>
      <c r="Q899" s="4"/>
      <c r="R899" s="4"/>
      <c r="S899" s="4"/>
      <c r="T899" s="4"/>
      <c r="U899" s="4"/>
      <c r="V899" s="4"/>
      <c r="W899" s="4"/>
      <c r="X899" s="4"/>
      <c r="Y899" s="4"/>
      <c r="Z899" s="4"/>
    </row>
    <row r="900" spans="1:26" ht="15.75" customHeight="1" x14ac:dyDescent="0.2">
      <c r="A900" s="1" t="s">
        <v>1792</v>
      </c>
      <c r="B900" s="1" t="s">
        <v>1793</v>
      </c>
      <c r="C900" s="5" t="str">
        <f ca="1">IFERROR(__xludf.DUMMYFUNCTION("REGEXEXTRACT($B900, $E$2)"),"plymouth")</f>
        <v>plymouth</v>
      </c>
      <c r="E900" s="4"/>
      <c r="F900" s="4"/>
      <c r="G900" s="4"/>
      <c r="H900" s="4"/>
      <c r="I900" s="4"/>
      <c r="J900" s="4"/>
      <c r="K900" s="4"/>
      <c r="L900" s="4"/>
      <c r="M900" s="4"/>
      <c r="N900" s="4"/>
      <c r="O900" s="4"/>
      <c r="P900" s="4"/>
      <c r="Q900" s="4"/>
      <c r="R900" s="4"/>
      <c r="S900" s="4"/>
      <c r="T900" s="4"/>
      <c r="U900" s="4"/>
      <c r="V900" s="4"/>
      <c r="W900" s="4"/>
      <c r="X900" s="4"/>
      <c r="Y900" s="4"/>
      <c r="Z900" s="4"/>
    </row>
    <row r="901" spans="1:26" ht="15.75" customHeight="1" x14ac:dyDescent="0.2">
      <c r="A901" s="1" t="s">
        <v>1794</v>
      </c>
      <c r="B901" s="1" t="s">
        <v>1795</v>
      </c>
      <c r="C901" s="5" t="str">
        <f ca="1">IFERROR(__xludf.DUMMYFUNCTION("REGEXEXTRACT($B901, $E$2)"),"pointloma")</f>
        <v>pointloma</v>
      </c>
      <c r="E901" s="4"/>
      <c r="F901" s="4"/>
      <c r="G901" s="4"/>
      <c r="H901" s="4"/>
      <c r="I901" s="4"/>
      <c r="J901" s="4"/>
      <c r="K901" s="4"/>
      <c r="L901" s="4"/>
      <c r="M901" s="4"/>
      <c r="N901" s="4"/>
      <c r="O901" s="4"/>
      <c r="P901" s="4"/>
      <c r="Q901" s="4"/>
      <c r="R901" s="4"/>
      <c r="S901" s="4"/>
      <c r="T901" s="4"/>
      <c r="U901" s="4"/>
      <c r="V901" s="4"/>
      <c r="W901" s="4"/>
      <c r="X901" s="4"/>
      <c r="Y901" s="4"/>
      <c r="Z901" s="4"/>
    </row>
    <row r="902" spans="1:26" ht="15.75" customHeight="1" x14ac:dyDescent="0.2">
      <c r="A902" s="1" t="s">
        <v>1796</v>
      </c>
      <c r="B902" s="1" t="s">
        <v>1797</v>
      </c>
      <c r="C902" s="5" t="str">
        <f ca="1">IFERROR(__xludf.DUMMYFUNCTION("REGEXEXTRACT($B902, $E$2)"),"pointpark")</f>
        <v>pointpark</v>
      </c>
      <c r="E902" s="4"/>
      <c r="F902" s="4"/>
      <c r="G902" s="4"/>
      <c r="H902" s="4"/>
      <c r="I902" s="4"/>
      <c r="J902" s="4"/>
      <c r="K902" s="4"/>
      <c r="L902" s="4"/>
      <c r="M902" s="4"/>
      <c r="N902" s="4"/>
      <c r="O902" s="4"/>
      <c r="P902" s="4"/>
      <c r="Q902" s="4"/>
      <c r="R902" s="4"/>
      <c r="S902" s="4"/>
      <c r="T902" s="4"/>
      <c r="U902" s="4"/>
      <c r="V902" s="4"/>
      <c r="W902" s="4"/>
      <c r="X902" s="4"/>
      <c r="Y902" s="4"/>
      <c r="Z902" s="4"/>
    </row>
    <row r="903" spans="1:26" ht="15.75" customHeight="1" x14ac:dyDescent="0.2">
      <c r="A903" s="1" t="s">
        <v>1798</v>
      </c>
      <c r="B903" s="1" t="s">
        <v>1799</v>
      </c>
      <c r="C903" s="5" t="str">
        <f ca="1">IFERROR(__xludf.DUMMYFUNCTION("REGEXEXTRACT($B903, $E$2)"),"point")</f>
        <v>point</v>
      </c>
      <c r="E903" s="4"/>
      <c r="F903" s="4"/>
      <c r="G903" s="4"/>
      <c r="H903" s="4"/>
      <c r="I903" s="4"/>
      <c r="J903" s="4"/>
      <c r="K903" s="4"/>
      <c r="L903" s="4"/>
      <c r="M903" s="4"/>
      <c r="N903" s="4"/>
      <c r="O903" s="4"/>
      <c r="P903" s="4"/>
      <c r="Q903" s="4"/>
      <c r="R903" s="4"/>
      <c r="S903" s="4"/>
      <c r="T903" s="4"/>
      <c r="U903" s="4"/>
      <c r="V903" s="4"/>
      <c r="W903" s="4"/>
      <c r="X903" s="4"/>
      <c r="Y903" s="4"/>
      <c r="Z903" s="4"/>
    </row>
    <row r="904" spans="1:26" ht="15.75" customHeight="1" x14ac:dyDescent="0.2">
      <c r="A904" s="1" t="s">
        <v>1800</v>
      </c>
      <c r="B904" s="1" t="s">
        <v>1801</v>
      </c>
      <c r="C904" s="5" t="str">
        <f ca="1">IFERROR(__xludf.DUMMYFUNCTION("REGEXEXTRACT($B904, $E$2)"),"polk")</f>
        <v>polk</v>
      </c>
      <c r="E904" s="4"/>
      <c r="F904" s="4"/>
      <c r="G904" s="4"/>
      <c r="H904" s="4"/>
      <c r="I904" s="4"/>
      <c r="J904" s="4"/>
      <c r="K904" s="4"/>
      <c r="L904" s="4"/>
      <c r="M904" s="4"/>
      <c r="N904" s="4"/>
      <c r="O904" s="4"/>
      <c r="P904" s="4"/>
      <c r="Q904" s="4"/>
      <c r="R904" s="4"/>
      <c r="S904" s="4"/>
      <c r="T904" s="4"/>
      <c r="U904" s="4"/>
      <c r="V904" s="4"/>
      <c r="W904" s="4"/>
      <c r="X904" s="4"/>
      <c r="Y904" s="4"/>
      <c r="Z904" s="4"/>
    </row>
    <row r="905" spans="1:26" ht="15.75" customHeight="1" x14ac:dyDescent="0.2">
      <c r="A905" s="1" t="s">
        <v>1802</v>
      </c>
      <c r="B905" s="1" t="s">
        <v>1803</v>
      </c>
      <c r="C905" s="5" t="str">
        <f ca="1">IFERROR(__xludf.DUMMYFUNCTION("REGEXEXTRACT($B905, $E$2)"),"pupr")</f>
        <v>pupr</v>
      </c>
      <c r="E905" s="4"/>
      <c r="F905" s="4"/>
      <c r="G905" s="4"/>
      <c r="H905" s="4"/>
      <c r="I905" s="4"/>
      <c r="J905" s="4"/>
      <c r="K905" s="4"/>
      <c r="L905" s="4"/>
      <c r="M905" s="4"/>
      <c r="N905" s="4"/>
      <c r="O905" s="4"/>
      <c r="P905" s="4"/>
      <c r="Q905" s="4"/>
      <c r="R905" s="4"/>
      <c r="S905" s="4"/>
      <c r="T905" s="4"/>
      <c r="U905" s="4"/>
      <c r="V905" s="4"/>
      <c r="W905" s="4"/>
      <c r="X905" s="4"/>
      <c r="Y905" s="4"/>
      <c r="Z905" s="4"/>
    </row>
    <row r="906" spans="1:26" ht="15.75" customHeight="1" x14ac:dyDescent="0.2">
      <c r="A906" s="1" t="s">
        <v>1804</v>
      </c>
      <c r="B906" s="1" t="s">
        <v>1805</v>
      </c>
      <c r="C906" s="5" t="str">
        <f ca="1">IFERROR(__xludf.DUMMYFUNCTION("REGEXEXTRACT($B906, $E$2)"),"pomona")</f>
        <v>pomona</v>
      </c>
      <c r="E906" s="4"/>
      <c r="F906" s="4"/>
      <c r="G906" s="4"/>
      <c r="H906" s="4"/>
      <c r="I906" s="4"/>
      <c r="J906" s="4"/>
      <c r="K906" s="4"/>
      <c r="L906" s="4"/>
      <c r="M906" s="4"/>
      <c r="N906" s="4"/>
      <c r="O906" s="4"/>
      <c r="P906" s="4"/>
      <c r="Q906" s="4"/>
      <c r="R906" s="4"/>
      <c r="S906" s="4"/>
      <c r="T906" s="4"/>
      <c r="U906" s="4"/>
      <c r="V906" s="4"/>
      <c r="W906" s="4"/>
      <c r="X906" s="4"/>
      <c r="Y906" s="4"/>
      <c r="Z906" s="4"/>
    </row>
    <row r="907" spans="1:26" ht="15.75" customHeight="1" x14ac:dyDescent="0.2">
      <c r="A907" s="1" t="s">
        <v>1806</v>
      </c>
      <c r="B907" s="1" t="s">
        <v>1807</v>
      </c>
      <c r="C907" s="5" t="str">
        <f ca="1">IFERROR(__xludf.DUMMYFUNCTION("REGEXEXTRACT($B907, $E$2)"),"pucpr")</f>
        <v>pucpr</v>
      </c>
      <c r="E907" s="4"/>
      <c r="F907" s="4"/>
      <c r="G907" s="4"/>
      <c r="H907" s="4"/>
      <c r="I907" s="4"/>
      <c r="J907" s="4"/>
      <c r="K907" s="4"/>
      <c r="L907" s="4"/>
      <c r="M907" s="4"/>
      <c r="N907" s="4"/>
      <c r="O907" s="4"/>
      <c r="P907" s="4"/>
      <c r="Q907" s="4"/>
      <c r="R907" s="4"/>
      <c r="S907" s="4"/>
      <c r="T907" s="4"/>
      <c r="U907" s="4"/>
      <c r="V907" s="4"/>
      <c r="W907" s="4"/>
      <c r="X907" s="4"/>
      <c r="Y907" s="4"/>
      <c r="Z907" s="4"/>
    </row>
    <row r="908" spans="1:26" ht="15.75" customHeight="1" x14ac:dyDescent="0.2">
      <c r="A908" s="1" t="s">
        <v>1808</v>
      </c>
      <c r="B908" s="1" t="s">
        <v>1809</v>
      </c>
      <c r="C908" s="5" t="str">
        <f ca="1">IFERROR(__xludf.DUMMYFUNCTION("REGEXEXTRACT($B908, $E$2)"),"pcj")</f>
        <v>pcj</v>
      </c>
      <c r="E908" s="4"/>
      <c r="F908" s="4"/>
      <c r="G908" s="4"/>
      <c r="H908" s="4"/>
      <c r="I908" s="4"/>
      <c r="J908" s="4"/>
      <c r="K908" s="4"/>
      <c r="L908" s="4"/>
      <c r="M908" s="4"/>
      <c r="N908" s="4"/>
      <c r="O908" s="4"/>
      <c r="P908" s="4"/>
      <c r="Q908" s="4"/>
      <c r="R908" s="4"/>
      <c r="S908" s="4"/>
      <c r="T908" s="4"/>
      <c r="U908" s="4"/>
      <c r="V908" s="4"/>
      <c r="W908" s="4"/>
      <c r="X908" s="4"/>
      <c r="Y908" s="4"/>
      <c r="Z908" s="4"/>
    </row>
    <row r="909" spans="1:26" ht="15.75" customHeight="1" x14ac:dyDescent="0.2">
      <c r="A909" s="1" t="s">
        <v>1810</v>
      </c>
      <c r="B909" s="1" t="s">
        <v>1811</v>
      </c>
      <c r="C909" s="5" t="str">
        <f ca="1">IFERROR(__xludf.DUMMYFUNCTION("REGEXEXTRACT($B909, $E$2)"),"pdx")</f>
        <v>pdx</v>
      </c>
      <c r="E909" s="4"/>
      <c r="F909" s="4"/>
      <c r="G909" s="4"/>
      <c r="H909" s="4"/>
      <c r="I909" s="4"/>
      <c r="J909" s="4"/>
      <c r="K909" s="4"/>
      <c r="L909" s="4"/>
      <c r="M909" s="4"/>
      <c r="N909" s="4"/>
      <c r="O909" s="4"/>
      <c r="P909" s="4"/>
      <c r="Q909" s="4"/>
      <c r="R909" s="4"/>
      <c r="S909" s="4"/>
      <c r="T909" s="4"/>
      <c r="U909" s="4"/>
      <c r="V909" s="4"/>
      <c r="W909" s="4"/>
      <c r="X909" s="4"/>
      <c r="Y909" s="4"/>
      <c r="Z909" s="4"/>
    </row>
    <row r="910" spans="1:26" ht="15.75" customHeight="1" x14ac:dyDescent="0.2">
      <c r="A910" s="1" t="s">
        <v>1812</v>
      </c>
      <c r="B910" s="1" t="s">
        <v>1813</v>
      </c>
      <c r="C910" s="5" t="str">
        <f ca="1">IFERROR(__xludf.DUMMYFUNCTION("REGEXEXTRACT($B910, $E$2)"),"potomac")</f>
        <v>potomac</v>
      </c>
      <c r="E910" s="4"/>
      <c r="F910" s="4"/>
      <c r="G910" s="4"/>
      <c r="H910" s="4"/>
      <c r="I910" s="4"/>
      <c r="J910" s="4"/>
      <c r="K910" s="4"/>
      <c r="L910" s="4"/>
      <c r="M910" s="4"/>
      <c r="N910" s="4"/>
      <c r="O910" s="4"/>
      <c r="P910" s="4"/>
      <c r="Q910" s="4"/>
      <c r="R910" s="4"/>
      <c r="S910" s="4"/>
      <c r="T910" s="4"/>
      <c r="U910" s="4"/>
      <c r="V910" s="4"/>
      <c r="W910" s="4"/>
      <c r="X910" s="4"/>
      <c r="Y910" s="4"/>
      <c r="Z910" s="4"/>
    </row>
    <row r="911" spans="1:26" ht="15.75" customHeight="1" x14ac:dyDescent="0.2">
      <c r="A911" s="1" t="s">
        <v>1814</v>
      </c>
      <c r="B911" s="1" t="s">
        <v>1815</v>
      </c>
      <c r="C911" s="5" t="str">
        <f ca="1">IFERROR(__xludf.DUMMYFUNCTION("REGEXEXTRACT($B911, $E$2)"),"pvamu")</f>
        <v>pvamu</v>
      </c>
      <c r="E911" s="4"/>
      <c r="F911" s="4"/>
      <c r="G911" s="4"/>
      <c r="H911" s="4"/>
      <c r="I911" s="4"/>
      <c r="J911" s="4"/>
      <c r="K911" s="4"/>
      <c r="L911" s="4"/>
      <c r="M911" s="4"/>
      <c r="N911" s="4"/>
      <c r="O911" s="4"/>
      <c r="P911" s="4"/>
      <c r="Q911" s="4"/>
      <c r="R911" s="4"/>
      <c r="S911" s="4"/>
      <c r="T911" s="4"/>
      <c r="U911" s="4"/>
      <c r="V911" s="4"/>
      <c r="W911" s="4"/>
      <c r="X911" s="4"/>
      <c r="Y911" s="4"/>
      <c r="Z911" s="4"/>
    </row>
    <row r="912" spans="1:26" ht="15.75" customHeight="1" x14ac:dyDescent="0.2">
      <c r="A912" s="1" t="s">
        <v>1816</v>
      </c>
      <c r="B912" s="1" t="s">
        <v>1817</v>
      </c>
      <c r="C912" s="5" t="str">
        <f ca="1">IFERROR(__xludf.DUMMYFUNCTION("REGEXEXTRACT($B912, $E$2)"),"pratt")</f>
        <v>pratt</v>
      </c>
      <c r="E912" s="4"/>
      <c r="F912" s="4"/>
      <c r="G912" s="4"/>
      <c r="H912" s="4"/>
      <c r="I912" s="4"/>
      <c r="J912" s="4"/>
      <c r="K912" s="4"/>
      <c r="L912" s="4"/>
      <c r="M912" s="4"/>
      <c r="N912" s="4"/>
      <c r="O912" s="4"/>
      <c r="P912" s="4"/>
      <c r="Q912" s="4"/>
      <c r="R912" s="4"/>
      <c r="S912" s="4"/>
      <c r="T912" s="4"/>
      <c r="U912" s="4"/>
      <c r="V912" s="4"/>
      <c r="W912" s="4"/>
      <c r="X912" s="4"/>
      <c r="Y912" s="4"/>
      <c r="Z912" s="4"/>
    </row>
    <row r="913" spans="1:26" ht="15.75" customHeight="1" x14ac:dyDescent="0.2">
      <c r="A913" s="1" t="s">
        <v>1818</v>
      </c>
      <c r="B913" s="1" t="s">
        <v>1819</v>
      </c>
      <c r="C913" s="5" t="str">
        <f ca="1">IFERROR(__xludf.DUMMYFUNCTION("REGEXEXTRACT($B913, $E$2)"),"presby")</f>
        <v>presby</v>
      </c>
      <c r="E913" s="4"/>
      <c r="F913" s="4"/>
      <c r="G913" s="4"/>
      <c r="H913" s="4"/>
      <c r="I913" s="4"/>
      <c r="J913" s="4"/>
      <c r="K913" s="4"/>
      <c r="L913" s="4"/>
      <c r="M913" s="4"/>
      <c r="N913" s="4"/>
      <c r="O913" s="4"/>
      <c r="P913" s="4"/>
      <c r="Q913" s="4"/>
      <c r="R913" s="4"/>
      <c r="S913" s="4"/>
      <c r="T913" s="4"/>
      <c r="U913" s="4"/>
      <c r="V913" s="4"/>
      <c r="W913" s="4"/>
      <c r="X913" s="4"/>
      <c r="Y913" s="4"/>
      <c r="Z913" s="4"/>
    </row>
    <row r="914" spans="1:26" ht="15.75" customHeight="1" x14ac:dyDescent="0.2">
      <c r="A914" s="1" t="s">
        <v>1820</v>
      </c>
      <c r="B914" s="1" t="s">
        <v>1821</v>
      </c>
      <c r="C914" s="5" t="str">
        <f ca="1">IFERROR(__xludf.DUMMYFUNCTION("REGEXEXTRACT($B914, $E$2)"),"prescott")</f>
        <v>prescott</v>
      </c>
      <c r="E914" s="4"/>
      <c r="F914" s="4"/>
      <c r="G914" s="4"/>
      <c r="H914" s="4"/>
      <c r="I914" s="4"/>
      <c r="J914" s="4"/>
      <c r="K914" s="4"/>
      <c r="L914" s="4"/>
      <c r="M914" s="4"/>
      <c r="N914" s="4"/>
      <c r="O914" s="4"/>
      <c r="P914" s="4"/>
      <c r="Q914" s="4"/>
      <c r="R914" s="4"/>
      <c r="S914" s="4"/>
      <c r="T914" s="4"/>
      <c r="U914" s="4"/>
      <c r="V914" s="4"/>
      <c r="W914" s="4"/>
      <c r="X914" s="4"/>
      <c r="Y914" s="4"/>
      <c r="Z914" s="4"/>
    </row>
    <row r="915" spans="1:26" ht="15.75" customHeight="1" x14ac:dyDescent="0.2">
      <c r="A915" s="1" t="s">
        <v>1822</v>
      </c>
      <c r="B915" s="1" t="s">
        <v>1823</v>
      </c>
      <c r="C915" s="5" t="str">
        <f ca="1">IFERROR(__xludf.DUMMYFUNCTION("REGEXEXTRACT($B915, $E$2)"),"presentation")</f>
        <v>presentation</v>
      </c>
      <c r="E915" s="4"/>
      <c r="F915" s="4"/>
      <c r="G915" s="4"/>
      <c r="H915" s="4"/>
      <c r="I915" s="4"/>
      <c r="J915" s="4"/>
      <c r="K915" s="4"/>
      <c r="L915" s="4"/>
      <c r="M915" s="4"/>
      <c r="N915" s="4"/>
      <c r="O915" s="4"/>
      <c r="P915" s="4"/>
      <c r="Q915" s="4"/>
      <c r="R915" s="4"/>
      <c r="S915" s="4"/>
      <c r="T915" s="4"/>
      <c r="U915" s="4"/>
      <c r="V915" s="4"/>
      <c r="W915" s="4"/>
      <c r="X915" s="4"/>
      <c r="Y915" s="4"/>
      <c r="Z915" s="4"/>
    </row>
    <row r="916" spans="1:26" ht="15.75" customHeight="1" x14ac:dyDescent="0.2">
      <c r="A916" s="1" t="s">
        <v>1824</v>
      </c>
      <c r="B916" s="1" t="s">
        <v>1825</v>
      </c>
      <c r="C916" s="5" t="str">
        <f ca="1">IFERROR(__xludf.DUMMYFUNCTION("REGEXEXTRACT($B916, $E$2)"),"princeton")</f>
        <v>princeton</v>
      </c>
      <c r="E916" s="4"/>
      <c r="F916" s="4"/>
      <c r="G916" s="4"/>
      <c r="H916" s="4"/>
      <c r="I916" s="4"/>
      <c r="J916" s="4"/>
      <c r="K916" s="4"/>
      <c r="L916" s="4"/>
      <c r="M916" s="4"/>
      <c r="N916" s="4"/>
      <c r="O916" s="4"/>
      <c r="P916" s="4"/>
      <c r="Q916" s="4"/>
      <c r="R916" s="4"/>
      <c r="S916" s="4"/>
      <c r="T916" s="4"/>
      <c r="U916" s="4"/>
      <c r="V916" s="4"/>
      <c r="W916" s="4"/>
      <c r="X916" s="4"/>
      <c r="Y916" s="4"/>
      <c r="Z916" s="4"/>
    </row>
    <row r="917" spans="1:26" ht="15.75" customHeight="1" x14ac:dyDescent="0.2">
      <c r="A917" s="1" t="s">
        <v>1826</v>
      </c>
      <c r="B917" s="1" t="s">
        <v>1827</v>
      </c>
      <c r="C917" s="5" t="str">
        <f ca="1">IFERROR(__xludf.DUMMYFUNCTION("REGEXEXTRACT($B917, $E$2)"),"principia")</f>
        <v>principia</v>
      </c>
      <c r="E917" s="4"/>
      <c r="F917" s="4"/>
      <c r="G917" s="4"/>
      <c r="H917" s="4"/>
      <c r="I917" s="4"/>
      <c r="J917" s="4"/>
      <c r="K917" s="4"/>
      <c r="L917" s="4"/>
      <c r="M917" s="4"/>
      <c r="N917" s="4"/>
      <c r="O917" s="4"/>
      <c r="P917" s="4"/>
      <c r="Q917" s="4"/>
      <c r="R917" s="4"/>
      <c r="S917" s="4"/>
      <c r="T917" s="4"/>
      <c r="U917" s="4"/>
      <c r="V917" s="4"/>
      <c r="W917" s="4"/>
      <c r="X917" s="4"/>
      <c r="Y917" s="4"/>
      <c r="Z917" s="4"/>
    </row>
    <row r="918" spans="1:26" ht="15.75" customHeight="1" x14ac:dyDescent="0.2">
      <c r="A918" s="1" t="s">
        <v>1828</v>
      </c>
      <c r="B918" s="1" t="s">
        <v>1829</v>
      </c>
      <c r="C918" s="5" t="str">
        <f ca="1">IFERROR(__xludf.DUMMYFUNCTION("REGEXEXTRACT($B918, $E$2)"),"providence")</f>
        <v>providence</v>
      </c>
      <c r="E918" s="4"/>
      <c r="F918" s="4"/>
      <c r="G918" s="4"/>
      <c r="H918" s="4"/>
      <c r="I918" s="4"/>
      <c r="J918" s="4"/>
      <c r="K918" s="4"/>
      <c r="L918" s="4"/>
      <c r="M918" s="4"/>
      <c r="N918" s="4"/>
      <c r="O918" s="4"/>
      <c r="P918" s="4"/>
      <c r="Q918" s="4"/>
      <c r="R918" s="4"/>
      <c r="S918" s="4"/>
      <c r="T918" s="4"/>
      <c r="U918" s="4"/>
      <c r="V918" s="4"/>
      <c r="W918" s="4"/>
      <c r="X918" s="4"/>
      <c r="Y918" s="4"/>
      <c r="Z918" s="4"/>
    </row>
    <row r="919" spans="1:26" ht="15.75" customHeight="1" x14ac:dyDescent="0.2">
      <c r="A919" s="1" t="s">
        <v>1830</v>
      </c>
      <c r="B919" s="1" t="s">
        <v>1831</v>
      </c>
      <c r="C919" s="5" t="str">
        <f ca="1">IFERROR(__xludf.DUMMYFUNCTION("REGEXEXTRACT($B919, $E$2)"),"pfw")</f>
        <v>pfw</v>
      </c>
      <c r="E919" s="4"/>
      <c r="F919" s="4"/>
      <c r="G919" s="4"/>
      <c r="H919" s="4"/>
      <c r="I919" s="4"/>
      <c r="J919" s="4"/>
      <c r="K919" s="4"/>
      <c r="L919" s="4"/>
      <c r="M919" s="4"/>
      <c r="N919" s="4"/>
      <c r="O919" s="4"/>
      <c r="P919" s="4"/>
      <c r="Q919" s="4"/>
      <c r="R919" s="4"/>
      <c r="S919" s="4"/>
      <c r="T919" s="4"/>
      <c r="U919" s="4"/>
      <c r="V919" s="4"/>
      <c r="W919" s="4"/>
      <c r="X919" s="4"/>
      <c r="Y919" s="4"/>
      <c r="Z919" s="4"/>
    </row>
    <row r="920" spans="1:26" ht="15.75" customHeight="1" x14ac:dyDescent="0.2">
      <c r="A920" s="1" t="s">
        <v>1832</v>
      </c>
      <c r="B920" s="1" t="s">
        <v>1833</v>
      </c>
      <c r="C920" s="5" t="str">
        <f ca="1">IFERROR(__xludf.DUMMYFUNCTION("REGEXEXTRACT($B920, $E$2)"),"pnw")</f>
        <v>pnw</v>
      </c>
      <c r="E920" s="4"/>
      <c r="F920" s="4"/>
      <c r="G920" s="4"/>
      <c r="H920" s="4"/>
      <c r="I920" s="4"/>
      <c r="J920" s="4"/>
      <c r="K920" s="4"/>
      <c r="L920" s="4"/>
      <c r="M920" s="4"/>
      <c r="N920" s="4"/>
      <c r="O920" s="4"/>
      <c r="P920" s="4"/>
      <c r="Q920" s="4"/>
      <c r="R920" s="4"/>
      <c r="S920" s="4"/>
      <c r="T920" s="4"/>
      <c r="U920" s="4"/>
      <c r="V920" s="4"/>
      <c r="W920" s="4"/>
      <c r="X920" s="4"/>
      <c r="Y920" s="4"/>
      <c r="Z920" s="4"/>
    </row>
    <row r="921" spans="1:26" ht="15.75" customHeight="1" x14ac:dyDescent="0.2">
      <c r="A921" s="1" t="s">
        <v>1834</v>
      </c>
      <c r="B921" s="1" t="s">
        <v>1835</v>
      </c>
      <c r="C921" s="5" t="str">
        <f ca="1">IFERROR(__xludf.DUMMYFUNCTION("REGEXEXTRACT($B921, $E$2)"),"queens")</f>
        <v>queens</v>
      </c>
      <c r="E921" s="4"/>
      <c r="F921" s="4"/>
      <c r="G921" s="4"/>
      <c r="H921" s="4"/>
      <c r="I921" s="4"/>
      <c r="J921" s="4"/>
      <c r="K921" s="4"/>
      <c r="L921" s="4"/>
      <c r="M921" s="4"/>
      <c r="N921" s="4"/>
      <c r="O921" s="4"/>
      <c r="P921" s="4"/>
      <c r="Q921" s="4"/>
      <c r="R921" s="4"/>
      <c r="S921" s="4"/>
      <c r="T921" s="4"/>
      <c r="U921" s="4"/>
      <c r="V921" s="4"/>
      <c r="W921" s="4"/>
      <c r="X921" s="4"/>
      <c r="Y921" s="4"/>
      <c r="Z921" s="4"/>
    </row>
    <row r="922" spans="1:26" ht="15.75" customHeight="1" x14ac:dyDescent="0.2">
      <c r="A922" s="1" t="s">
        <v>1836</v>
      </c>
      <c r="B922" s="1" t="s">
        <v>1837</v>
      </c>
      <c r="C922" s="5" t="str">
        <f ca="1">IFERROR(__xludf.DUMMYFUNCTION("REGEXEXTRACT($B922, $E$2)"),"quincy")</f>
        <v>quincy</v>
      </c>
      <c r="E922" s="4"/>
      <c r="F922" s="4"/>
      <c r="G922" s="4"/>
      <c r="H922" s="4"/>
      <c r="I922" s="4"/>
      <c r="J922" s="4"/>
      <c r="K922" s="4"/>
      <c r="L922" s="4"/>
      <c r="M922" s="4"/>
      <c r="N922" s="4"/>
      <c r="O922" s="4"/>
      <c r="P922" s="4"/>
      <c r="Q922" s="4"/>
      <c r="R922" s="4"/>
      <c r="S922" s="4"/>
      <c r="T922" s="4"/>
      <c r="U922" s="4"/>
      <c r="V922" s="4"/>
      <c r="W922" s="4"/>
      <c r="X922" s="4"/>
      <c r="Y922" s="4"/>
      <c r="Z922" s="4"/>
    </row>
    <row r="923" spans="1:26" ht="15.75" customHeight="1" x14ac:dyDescent="0.2">
      <c r="A923" s="1" t="s">
        <v>1838</v>
      </c>
      <c r="B923" s="1" t="s">
        <v>1839</v>
      </c>
      <c r="C923" s="5" t="str">
        <f ca="1">IFERROR(__xludf.DUMMYFUNCTION("REGEXEXTRACT($B923, $E$2)"),"qu")</f>
        <v>qu</v>
      </c>
      <c r="E923" s="4"/>
      <c r="F923" s="4"/>
      <c r="G923" s="4"/>
      <c r="H923" s="4"/>
      <c r="I923" s="4"/>
      <c r="J923" s="4"/>
      <c r="K923" s="4"/>
      <c r="L923" s="4"/>
      <c r="M923" s="4"/>
      <c r="N923" s="4"/>
      <c r="O923" s="4"/>
      <c r="P923" s="4"/>
      <c r="Q923" s="4"/>
      <c r="R923" s="4"/>
      <c r="S923" s="4"/>
      <c r="T923" s="4"/>
      <c r="U923" s="4"/>
      <c r="V923" s="4"/>
      <c r="W923" s="4"/>
      <c r="X923" s="4"/>
      <c r="Y923" s="4"/>
      <c r="Z923" s="4"/>
    </row>
    <row r="924" spans="1:26" ht="15.75" customHeight="1" x14ac:dyDescent="0.2">
      <c r="A924" s="1" t="s">
        <v>1840</v>
      </c>
      <c r="B924" s="1" t="s">
        <v>1841</v>
      </c>
      <c r="C924" s="5" t="str">
        <f ca="1">IFERROR(__xludf.DUMMYFUNCTION("REGEXEXTRACT($B924, $E$2)"),"radford")</f>
        <v>radford</v>
      </c>
      <c r="E924" s="4"/>
      <c r="F924" s="4"/>
      <c r="G924" s="4"/>
      <c r="H924" s="4"/>
      <c r="I924" s="4"/>
      <c r="J924" s="4"/>
      <c r="K924" s="4"/>
      <c r="L924" s="4"/>
      <c r="M924" s="4"/>
      <c r="N924" s="4"/>
      <c r="O924" s="4"/>
      <c r="P924" s="4"/>
      <c r="Q924" s="4"/>
      <c r="R924" s="4"/>
      <c r="S924" s="4"/>
      <c r="T924" s="4"/>
      <c r="U924" s="4"/>
      <c r="V924" s="4"/>
      <c r="W924" s="4"/>
      <c r="X924" s="4"/>
      <c r="Y924" s="4"/>
      <c r="Z924" s="4"/>
    </row>
    <row r="925" spans="1:26" ht="15.75" customHeight="1" x14ac:dyDescent="0.2">
      <c r="A925" s="1" t="s">
        <v>1842</v>
      </c>
      <c r="B925" s="1" t="s">
        <v>1843</v>
      </c>
      <c r="C925" s="5" t="str">
        <f ca="1">IFERROR(__xludf.DUMMYFUNCTION("REGEXEXTRACT($B925, $E$2)"),"ramapo")</f>
        <v>ramapo</v>
      </c>
      <c r="E925" s="4"/>
      <c r="F925" s="4"/>
      <c r="G925" s="4"/>
      <c r="H925" s="4"/>
      <c r="I925" s="4"/>
      <c r="J925" s="4"/>
      <c r="K925" s="4"/>
      <c r="L925" s="4"/>
      <c r="M925" s="4"/>
      <c r="N925" s="4"/>
      <c r="O925" s="4"/>
      <c r="P925" s="4"/>
      <c r="Q925" s="4"/>
      <c r="R925" s="4"/>
      <c r="S925" s="4"/>
      <c r="T925" s="4"/>
      <c r="U925" s="4"/>
      <c r="V925" s="4"/>
      <c r="W925" s="4"/>
      <c r="X925" s="4"/>
      <c r="Y925" s="4"/>
      <c r="Z925" s="4"/>
    </row>
    <row r="926" spans="1:26" ht="15.75" customHeight="1" x14ac:dyDescent="0.2">
      <c r="A926" s="1" t="s">
        <v>1844</v>
      </c>
      <c r="B926" s="1" t="s">
        <v>1845</v>
      </c>
      <c r="C926" s="5" t="str">
        <f ca="1">IFERROR(__xludf.DUMMYFUNCTION("REGEXEXTRACT($B926, $E$2)"),"randolphcollege")</f>
        <v>randolphcollege</v>
      </c>
      <c r="E926" s="4"/>
      <c r="F926" s="4"/>
      <c r="G926" s="4"/>
      <c r="H926" s="4"/>
      <c r="I926" s="4"/>
      <c r="J926" s="4"/>
      <c r="K926" s="4"/>
      <c r="L926" s="4"/>
      <c r="M926" s="4"/>
      <c r="N926" s="4"/>
      <c r="O926" s="4"/>
      <c r="P926" s="4"/>
      <c r="Q926" s="4"/>
      <c r="R926" s="4"/>
      <c r="S926" s="4"/>
      <c r="T926" s="4"/>
      <c r="U926" s="4"/>
      <c r="V926" s="4"/>
      <c r="W926" s="4"/>
      <c r="X926" s="4"/>
      <c r="Y926" s="4"/>
      <c r="Z926" s="4"/>
    </row>
    <row r="927" spans="1:26" ht="15.75" customHeight="1" x14ac:dyDescent="0.2">
      <c r="A927" s="1" t="s">
        <v>1846</v>
      </c>
      <c r="B927" s="1" t="s">
        <v>1847</v>
      </c>
      <c r="C927" s="5" t="str">
        <f ca="1">IFERROR(__xludf.DUMMYFUNCTION("REGEXEXTRACT($B927, $E$2)"),"rmc")</f>
        <v>rmc</v>
      </c>
      <c r="E927" s="4"/>
      <c r="F927" s="4"/>
      <c r="G927" s="4"/>
      <c r="H927" s="4"/>
      <c r="I927" s="4"/>
      <c r="J927" s="4"/>
      <c r="K927" s="4"/>
      <c r="L927" s="4"/>
      <c r="M927" s="4"/>
      <c r="N927" s="4"/>
      <c r="O927" s="4"/>
      <c r="P927" s="4"/>
      <c r="Q927" s="4"/>
      <c r="R927" s="4"/>
      <c r="S927" s="4"/>
      <c r="T927" s="4"/>
      <c r="U927" s="4"/>
      <c r="V927" s="4"/>
      <c r="W927" s="4"/>
      <c r="X927" s="4"/>
      <c r="Y927" s="4"/>
      <c r="Z927" s="4"/>
    </row>
    <row r="928" spans="1:26" ht="15.75" customHeight="1" x14ac:dyDescent="0.2">
      <c r="A928" s="1" t="s">
        <v>1848</v>
      </c>
      <c r="B928" s="1" t="s">
        <v>1849</v>
      </c>
      <c r="C928" s="5" t="str">
        <f ca="1">IFERROR(__xludf.DUMMYFUNCTION("REGEXEXTRACT($B928, $E$2)"),"reed")</f>
        <v>reed</v>
      </c>
      <c r="E928" s="4"/>
      <c r="F928" s="4"/>
      <c r="G928" s="4"/>
      <c r="H928" s="4"/>
      <c r="I928" s="4"/>
      <c r="J928" s="4"/>
      <c r="K928" s="4"/>
      <c r="L928" s="4"/>
      <c r="M928" s="4"/>
      <c r="N928" s="4"/>
      <c r="O928" s="4"/>
      <c r="P928" s="4"/>
      <c r="Q928" s="4"/>
      <c r="R928" s="4"/>
      <c r="S928" s="4"/>
      <c r="T928" s="4"/>
      <c r="U928" s="4"/>
      <c r="V928" s="4"/>
      <c r="W928" s="4"/>
      <c r="X928" s="4"/>
      <c r="Y928" s="4"/>
      <c r="Z928" s="4"/>
    </row>
    <row r="929" spans="1:26" ht="15.75" customHeight="1" x14ac:dyDescent="0.2">
      <c r="A929" s="1" t="s">
        <v>1850</v>
      </c>
      <c r="B929" s="1" t="s">
        <v>1851</v>
      </c>
      <c r="C929" s="5" t="str">
        <f ca="1">IFERROR(__xludf.DUMMYFUNCTION("REGEXEXTRACT($B929, $E$2)"),"regent")</f>
        <v>regent</v>
      </c>
      <c r="E929" s="4"/>
      <c r="F929" s="4"/>
      <c r="G929" s="4"/>
      <c r="H929" s="4"/>
      <c r="I929" s="4"/>
      <c r="J929" s="4"/>
      <c r="K929" s="4"/>
      <c r="L929" s="4"/>
      <c r="M929" s="4"/>
      <c r="N929" s="4"/>
      <c r="O929" s="4"/>
      <c r="P929" s="4"/>
      <c r="Q929" s="4"/>
      <c r="R929" s="4"/>
      <c r="S929" s="4"/>
      <c r="T929" s="4"/>
      <c r="U929" s="4"/>
      <c r="V929" s="4"/>
      <c r="W929" s="4"/>
      <c r="X929" s="4"/>
      <c r="Y929" s="4"/>
      <c r="Z929" s="4"/>
    </row>
    <row r="930" spans="1:26" ht="15.75" customHeight="1" x14ac:dyDescent="0.2">
      <c r="A930" s="1" t="s">
        <v>1852</v>
      </c>
      <c r="B930" s="1" t="s">
        <v>1853</v>
      </c>
      <c r="C930" s="5" t="str">
        <f ca="1">IFERROR(__xludf.DUMMYFUNCTION("REGEXEXTRACT($B930, $E$2)"),"regiscollege")</f>
        <v>regiscollege</v>
      </c>
      <c r="E930" s="4"/>
      <c r="F930" s="4"/>
      <c r="G930" s="4"/>
      <c r="H930" s="4"/>
      <c r="I930" s="4"/>
      <c r="J930" s="4"/>
      <c r="K930" s="4"/>
      <c r="L930" s="4"/>
      <c r="M930" s="4"/>
      <c r="N930" s="4"/>
      <c r="O930" s="4"/>
      <c r="P930" s="4"/>
      <c r="Q930" s="4"/>
      <c r="R930" s="4"/>
      <c r="S930" s="4"/>
      <c r="T930" s="4"/>
      <c r="U930" s="4"/>
      <c r="V930" s="4"/>
      <c r="W930" s="4"/>
      <c r="X930" s="4"/>
      <c r="Y930" s="4"/>
      <c r="Z930" s="4"/>
    </row>
    <row r="931" spans="1:26" ht="15.75" customHeight="1" x14ac:dyDescent="0.2">
      <c r="A931" s="1" t="s">
        <v>1854</v>
      </c>
      <c r="B931" s="1" t="s">
        <v>1855</v>
      </c>
      <c r="C931" s="5" t="str">
        <f ca="1">IFERROR(__xludf.DUMMYFUNCTION("REGEXEXTRACT($B931, $E$2)"),"regis")</f>
        <v>regis</v>
      </c>
      <c r="E931" s="4"/>
      <c r="F931" s="4"/>
      <c r="G931" s="4"/>
      <c r="H931" s="4"/>
      <c r="I931" s="4"/>
      <c r="J931" s="4"/>
      <c r="K931" s="4"/>
      <c r="L931" s="4"/>
      <c r="M931" s="4"/>
      <c r="N931" s="4"/>
      <c r="O931" s="4"/>
      <c r="P931" s="4"/>
      <c r="Q931" s="4"/>
      <c r="R931" s="4"/>
      <c r="S931" s="4"/>
      <c r="T931" s="4"/>
      <c r="U931" s="4"/>
      <c r="V931" s="4"/>
      <c r="W931" s="4"/>
      <c r="X931" s="4"/>
      <c r="Y931" s="4"/>
      <c r="Z931" s="4"/>
    </row>
    <row r="932" spans="1:26" ht="15.75" customHeight="1" x14ac:dyDescent="0.2">
      <c r="A932" s="1" t="s">
        <v>1856</v>
      </c>
      <c r="B932" s="1" t="s">
        <v>1857</v>
      </c>
      <c r="C932" s="5" t="str">
        <f ca="1">IFERROR(__xludf.DUMMYFUNCTION("REGEXEXTRACT($B932, $E$2)"),"reinhardt")</f>
        <v>reinhardt</v>
      </c>
      <c r="E932" s="4"/>
      <c r="F932" s="4"/>
      <c r="G932" s="4"/>
      <c r="H932" s="4"/>
      <c r="I932" s="4"/>
      <c r="J932" s="4"/>
      <c r="K932" s="4"/>
      <c r="L932" s="4"/>
      <c r="M932" s="4"/>
      <c r="N932" s="4"/>
      <c r="O932" s="4"/>
      <c r="P932" s="4"/>
      <c r="Q932" s="4"/>
      <c r="R932" s="4"/>
      <c r="S932" s="4"/>
      <c r="T932" s="4"/>
      <c r="U932" s="4"/>
      <c r="V932" s="4"/>
      <c r="W932" s="4"/>
      <c r="X932" s="4"/>
      <c r="Y932" s="4"/>
      <c r="Z932" s="4"/>
    </row>
    <row r="933" spans="1:26" ht="15.75" customHeight="1" x14ac:dyDescent="0.2">
      <c r="A933" s="1" t="s">
        <v>1858</v>
      </c>
      <c r="B933" s="1" t="s">
        <v>1859</v>
      </c>
      <c r="C933" s="5" t="str">
        <f ca="1">IFERROR(__xludf.DUMMYFUNCTION("REGEXEXTRACT($B933, $E$2)"),"rpi")</f>
        <v>rpi</v>
      </c>
      <c r="E933" s="4"/>
      <c r="F933" s="4"/>
      <c r="G933" s="4"/>
      <c r="H933" s="4"/>
      <c r="I933" s="4"/>
      <c r="J933" s="4"/>
      <c r="K933" s="4"/>
      <c r="L933" s="4"/>
      <c r="M933" s="4"/>
      <c r="N933" s="4"/>
      <c r="O933" s="4"/>
      <c r="P933" s="4"/>
      <c r="Q933" s="4"/>
      <c r="R933" s="4"/>
      <c r="S933" s="4"/>
      <c r="T933" s="4"/>
      <c r="U933" s="4"/>
      <c r="V933" s="4"/>
      <c r="W933" s="4"/>
      <c r="X933" s="4"/>
      <c r="Y933" s="4"/>
      <c r="Z933" s="4"/>
    </row>
    <row r="934" spans="1:26" ht="15.75" customHeight="1" x14ac:dyDescent="0.2">
      <c r="A934" s="1" t="s">
        <v>1860</v>
      </c>
      <c r="B934" s="1" t="s">
        <v>1861</v>
      </c>
      <c r="C934" s="5" t="str">
        <f ca="1">IFERROR(__xludf.DUMMYFUNCTION("REGEXEXTRACT($B934, $E$2)"),"researchcollege")</f>
        <v>researchcollege</v>
      </c>
      <c r="E934" s="4"/>
      <c r="F934" s="4"/>
      <c r="G934" s="4"/>
      <c r="H934" s="4"/>
      <c r="I934" s="4"/>
      <c r="J934" s="4"/>
      <c r="K934" s="4"/>
      <c r="L934" s="4"/>
      <c r="M934" s="4"/>
      <c r="N934" s="4"/>
      <c r="O934" s="4"/>
      <c r="P934" s="4"/>
      <c r="Q934" s="4"/>
      <c r="R934" s="4"/>
      <c r="S934" s="4"/>
      <c r="T934" s="4"/>
      <c r="U934" s="4"/>
      <c r="V934" s="4"/>
      <c r="W934" s="4"/>
      <c r="X934" s="4"/>
      <c r="Y934" s="4"/>
      <c r="Z934" s="4"/>
    </row>
    <row r="935" spans="1:26" ht="15.75" customHeight="1" x14ac:dyDescent="0.2">
      <c r="A935" s="1" t="s">
        <v>1862</v>
      </c>
      <c r="B935" s="1" t="s">
        <v>1863</v>
      </c>
      <c r="C935" s="5" t="str">
        <f ca="1">IFERROR(__xludf.DUMMYFUNCTION("REGEXEXTRACT($B935, $E$2)"),"resu")</f>
        <v>resu</v>
      </c>
      <c r="E935" s="4"/>
      <c r="F935" s="4"/>
      <c r="G935" s="4"/>
      <c r="H935" s="4"/>
      <c r="I935" s="4"/>
      <c r="J935" s="4"/>
      <c r="K935" s="4"/>
      <c r="L935" s="4"/>
      <c r="M935" s="4"/>
      <c r="N935" s="4"/>
      <c r="O935" s="4"/>
      <c r="P935" s="4"/>
      <c r="Q935" s="4"/>
      <c r="R935" s="4"/>
      <c r="S935" s="4"/>
      <c r="T935" s="4"/>
      <c r="U935" s="4"/>
      <c r="V935" s="4"/>
      <c r="W935" s="4"/>
      <c r="X935" s="4"/>
      <c r="Y935" s="4"/>
      <c r="Z935" s="4"/>
    </row>
    <row r="936" spans="1:26" ht="15.75" customHeight="1" x14ac:dyDescent="0.2">
      <c r="A936" s="1" t="s">
        <v>1864</v>
      </c>
      <c r="B936" s="1" t="s">
        <v>1865</v>
      </c>
      <c r="C936" s="5" t="str">
        <f ca="1">IFERROR(__xludf.DUMMYFUNCTION("REGEXEXTRACT($B936, $E$2)"),"ric")</f>
        <v>ric</v>
      </c>
      <c r="E936" s="4"/>
      <c r="F936" s="4"/>
      <c r="G936" s="4"/>
      <c r="H936" s="4"/>
      <c r="I936" s="4"/>
      <c r="J936" s="4"/>
      <c r="K936" s="4"/>
      <c r="L936" s="4"/>
      <c r="M936" s="4"/>
      <c r="N936" s="4"/>
      <c r="O936" s="4"/>
      <c r="P936" s="4"/>
      <c r="Q936" s="4"/>
      <c r="R936" s="4"/>
      <c r="S936" s="4"/>
      <c r="T936" s="4"/>
      <c r="U936" s="4"/>
      <c r="V936" s="4"/>
      <c r="W936" s="4"/>
      <c r="X936" s="4"/>
      <c r="Y936" s="4"/>
      <c r="Z936" s="4"/>
    </row>
    <row r="937" spans="1:26" ht="15.75" customHeight="1" x14ac:dyDescent="0.2">
      <c r="A937" s="1" t="s">
        <v>1866</v>
      </c>
      <c r="B937" s="1" t="s">
        <v>1867</v>
      </c>
      <c r="C937" s="5" t="str">
        <f ca="1">IFERROR(__xludf.DUMMYFUNCTION("REGEXEXTRACT($B937, $E$2)"),"risd")</f>
        <v>risd</v>
      </c>
      <c r="E937" s="4"/>
      <c r="F937" s="4"/>
      <c r="G937" s="4"/>
      <c r="H937" s="4"/>
      <c r="I937" s="4"/>
      <c r="J937" s="4"/>
      <c r="K937" s="4"/>
      <c r="L937" s="4"/>
      <c r="M937" s="4"/>
      <c r="N937" s="4"/>
      <c r="O937" s="4"/>
      <c r="P937" s="4"/>
      <c r="Q937" s="4"/>
      <c r="R937" s="4"/>
      <c r="S937" s="4"/>
      <c r="T937" s="4"/>
      <c r="U937" s="4"/>
      <c r="V937" s="4"/>
      <c r="W937" s="4"/>
      <c r="X937" s="4"/>
      <c r="Y937" s="4"/>
      <c r="Z937" s="4"/>
    </row>
    <row r="938" spans="1:26" ht="15.75" customHeight="1" x14ac:dyDescent="0.2">
      <c r="A938" s="1" t="s">
        <v>1868</v>
      </c>
      <c r="B938" s="1" t="s">
        <v>1869</v>
      </c>
      <c r="C938" s="5" t="str">
        <f ca="1">IFERROR(__xludf.DUMMYFUNCTION("REGEXEXTRACT($B938, $E$2)"),"rhodes")</f>
        <v>rhodes</v>
      </c>
      <c r="E938" s="4"/>
      <c r="F938" s="4"/>
      <c r="G938" s="4"/>
      <c r="H938" s="4"/>
      <c r="I938" s="4"/>
      <c r="J938" s="4"/>
      <c r="K938" s="4"/>
      <c r="L938" s="4"/>
      <c r="M938" s="4"/>
      <c r="N938" s="4"/>
      <c r="O938" s="4"/>
      <c r="P938" s="4"/>
      <c r="Q938" s="4"/>
      <c r="R938" s="4"/>
      <c r="S938" s="4"/>
      <c r="T938" s="4"/>
      <c r="U938" s="4"/>
      <c r="V938" s="4"/>
      <c r="W938" s="4"/>
      <c r="X938" s="4"/>
      <c r="Y938" s="4"/>
      <c r="Z938" s="4"/>
    </row>
    <row r="939" spans="1:26" ht="15.75" customHeight="1" x14ac:dyDescent="0.2">
      <c r="A939" s="1" t="s">
        <v>1870</v>
      </c>
      <c r="B939" s="1" t="s">
        <v>1871</v>
      </c>
      <c r="C939" s="5" t="str">
        <f ca="1">IFERROR(__xludf.DUMMYFUNCTION("REGEXEXTRACT($B939, $E$2)"),"rice")</f>
        <v>rice</v>
      </c>
      <c r="E939" s="4"/>
      <c r="F939" s="4"/>
      <c r="G939" s="4"/>
      <c r="H939" s="4"/>
      <c r="I939" s="4"/>
      <c r="J939" s="4"/>
      <c r="K939" s="4"/>
      <c r="L939" s="4"/>
      <c r="M939" s="4"/>
      <c r="N939" s="4"/>
      <c r="O939" s="4"/>
      <c r="P939" s="4"/>
      <c r="Q939" s="4"/>
      <c r="R939" s="4"/>
      <c r="S939" s="4"/>
      <c r="T939" s="4"/>
      <c r="U939" s="4"/>
      <c r="V939" s="4"/>
      <c r="W939" s="4"/>
      <c r="X939" s="4"/>
      <c r="Y939" s="4"/>
      <c r="Z939" s="4"/>
    </row>
    <row r="940" spans="1:26" ht="15.75" customHeight="1" x14ac:dyDescent="0.2">
      <c r="A940" s="1" t="s">
        <v>1872</v>
      </c>
      <c r="B940" s="1" t="s">
        <v>1873</v>
      </c>
      <c r="C940" s="5" t="str">
        <f ca="1">IFERROR(__xludf.DUMMYFUNCTION("REGEXEXTRACT($B940, $E$2)"),"rider")</f>
        <v>rider</v>
      </c>
      <c r="E940" s="4"/>
      <c r="F940" s="4"/>
      <c r="G940" s="4"/>
      <c r="H940" s="4"/>
      <c r="I940" s="4"/>
      <c r="J940" s="4"/>
      <c r="K940" s="4"/>
      <c r="L940" s="4"/>
      <c r="M940" s="4"/>
      <c r="N940" s="4"/>
      <c r="O940" s="4"/>
      <c r="P940" s="4"/>
      <c r="Q940" s="4"/>
      <c r="R940" s="4"/>
      <c r="S940" s="4"/>
      <c r="T940" s="4"/>
      <c r="U940" s="4"/>
      <c r="V940" s="4"/>
      <c r="W940" s="4"/>
      <c r="X940" s="4"/>
      <c r="Y940" s="4"/>
      <c r="Z940" s="4"/>
    </row>
    <row r="941" spans="1:26" ht="15.75" customHeight="1" x14ac:dyDescent="0.2">
      <c r="A941" s="1" t="s">
        <v>1874</v>
      </c>
      <c r="B941" s="1" t="s">
        <v>1875</v>
      </c>
      <c r="C941" s="5" t="str">
        <f ca="1">IFERROR(__xludf.DUMMYFUNCTION("REGEXEXTRACT($B941, $E$2)"),"ringling")</f>
        <v>ringling</v>
      </c>
      <c r="E941" s="4"/>
      <c r="F941" s="4"/>
      <c r="G941" s="4"/>
      <c r="H941" s="4"/>
      <c r="I941" s="4"/>
      <c r="J941" s="4"/>
      <c r="K941" s="4"/>
      <c r="L941" s="4"/>
      <c r="M941" s="4"/>
      <c r="N941" s="4"/>
      <c r="O941" s="4"/>
      <c r="P941" s="4"/>
      <c r="Q941" s="4"/>
      <c r="R941" s="4"/>
      <c r="S941" s="4"/>
      <c r="T941" s="4"/>
      <c r="U941" s="4"/>
      <c r="V941" s="4"/>
      <c r="W941" s="4"/>
      <c r="X941" s="4"/>
      <c r="Y941" s="4"/>
      <c r="Z941" s="4"/>
    </row>
    <row r="942" spans="1:26" ht="15.75" customHeight="1" x14ac:dyDescent="0.2">
      <c r="A942" s="1" t="s">
        <v>1876</v>
      </c>
      <c r="B942" s="1" t="s">
        <v>1877</v>
      </c>
      <c r="C942" s="5" t="str">
        <f ca="1">IFERROR(__xludf.DUMMYFUNCTION("REGEXEXTRACT($B942, $E$2)"),"ripon")</f>
        <v>ripon</v>
      </c>
      <c r="E942" s="4"/>
      <c r="F942" s="4"/>
      <c r="G942" s="4"/>
      <c r="H942" s="4"/>
      <c r="I942" s="4"/>
      <c r="J942" s="4"/>
      <c r="K942" s="4"/>
      <c r="L942" s="4"/>
      <c r="M942" s="4"/>
      <c r="N942" s="4"/>
      <c r="O942" s="4"/>
      <c r="P942" s="4"/>
      <c r="Q942" s="4"/>
      <c r="R942" s="4"/>
      <c r="S942" s="4"/>
      <c r="T942" s="4"/>
      <c r="U942" s="4"/>
      <c r="V942" s="4"/>
      <c r="W942" s="4"/>
      <c r="X942" s="4"/>
      <c r="Y942" s="4"/>
      <c r="Z942" s="4"/>
    </row>
    <row r="943" spans="1:26" ht="15.75" customHeight="1" x14ac:dyDescent="0.2">
      <c r="A943" s="1" t="s">
        <v>1878</v>
      </c>
      <c r="B943" s="1" t="s">
        <v>1879</v>
      </c>
      <c r="C943" s="5" t="str">
        <f ca="1">IFERROR(__xludf.DUMMYFUNCTION("REGEXEXTRACT($B943, $E$2)"),"rivier")</f>
        <v>rivier</v>
      </c>
      <c r="E943" s="4"/>
      <c r="F943" s="4"/>
      <c r="G943" s="4"/>
      <c r="H943" s="4"/>
      <c r="I943" s="4"/>
      <c r="J943" s="4"/>
      <c r="K943" s="4"/>
      <c r="L943" s="4"/>
      <c r="M943" s="4"/>
      <c r="N943" s="4"/>
      <c r="O943" s="4"/>
      <c r="P943" s="4"/>
      <c r="Q943" s="4"/>
      <c r="R943" s="4"/>
      <c r="S943" s="4"/>
      <c r="T943" s="4"/>
      <c r="U943" s="4"/>
      <c r="V943" s="4"/>
      <c r="W943" s="4"/>
      <c r="X943" s="4"/>
      <c r="Y943" s="4"/>
      <c r="Z943" s="4"/>
    </row>
    <row r="944" spans="1:26" ht="15.75" customHeight="1" x14ac:dyDescent="0.2">
      <c r="A944" s="1" t="s">
        <v>1880</v>
      </c>
      <c r="B944" s="1" t="s">
        <v>1881</v>
      </c>
      <c r="C944" s="5" t="str">
        <f ca="1">IFERROR(__xludf.DUMMYFUNCTION("REGEXEXTRACT($B944, $E$2)"),"roanoke")</f>
        <v>roanoke</v>
      </c>
      <c r="E944" s="4"/>
      <c r="F944" s="4"/>
      <c r="G944" s="4"/>
      <c r="H944" s="4"/>
      <c r="I944" s="4"/>
      <c r="J944" s="4"/>
      <c r="K944" s="4"/>
      <c r="L944" s="4"/>
      <c r="M944" s="4"/>
      <c r="N944" s="4"/>
      <c r="O944" s="4"/>
      <c r="P944" s="4"/>
      <c r="Q944" s="4"/>
      <c r="R944" s="4"/>
      <c r="S944" s="4"/>
      <c r="T944" s="4"/>
      <c r="U944" s="4"/>
      <c r="V944" s="4"/>
      <c r="W944" s="4"/>
      <c r="X944" s="4"/>
      <c r="Y944" s="4"/>
      <c r="Z944" s="4"/>
    </row>
    <row r="945" spans="1:26" ht="15.75" customHeight="1" x14ac:dyDescent="0.2">
      <c r="A945" s="1" t="s">
        <v>1882</v>
      </c>
      <c r="B945" s="1" t="s">
        <v>1883</v>
      </c>
      <c r="C945" s="5" t="str">
        <f ca="1">IFERROR(__xludf.DUMMYFUNCTION("REGEXEXTRACT($B945, $E$2)"),"robertmorris")</f>
        <v>robertmorris</v>
      </c>
      <c r="E945" s="4"/>
      <c r="F945" s="4"/>
      <c r="G945" s="4"/>
      <c r="H945" s="4"/>
      <c r="I945" s="4"/>
      <c r="J945" s="4"/>
      <c r="K945" s="4"/>
      <c r="L945" s="4"/>
      <c r="M945" s="4"/>
      <c r="N945" s="4"/>
      <c r="O945" s="4"/>
      <c r="P945" s="4"/>
      <c r="Q945" s="4"/>
      <c r="R945" s="4"/>
      <c r="S945" s="4"/>
      <c r="T945" s="4"/>
      <c r="U945" s="4"/>
      <c r="V945" s="4"/>
      <c r="W945" s="4"/>
      <c r="X945" s="4"/>
      <c r="Y945" s="4"/>
      <c r="Z945" s="4"/>
    </row>
    <row r="946" spans="1:26" ht="15.75" customHeight="1" x14ac:dyDescent="0.2">
      <c r="A946" s="1" t="s">
        <v>1884</v>
      </c>
      <c r="B946" s="1" t="s">
        <v>1885</v>
      </c>
      <c r="C946" s="5" t="str">
        <f ca="1">IFERROR(__xludf.DUMMYFUNCTION("REGEXEXTRACT($B946, $E$2)"),"rmu")</f>
        <v>rmu</v>
      </c>
      <c r="E946" s="4"/>
      <c r="F946" s="4"/>
      <c r="G946" s="4"/>
      <c r="H946" s="4"/>
      <c r="I946" s="4"/>
      <c r="J946" s="4"/>
      <c r="K946" s="4"/>
      <c r="L946" s="4"/>
      <c r="M946" s="4"/>
      <c r="N946" s="4"/>
      <c r="O946" s="4"/>
      <c r="P946" s="4"/>
      <c r="Q946" s="4"/>
      <c r="R946" s="4"/>
      <c r="S946" s="4"/>
      <c r="T946" s="4"/>
      <c r="U946" s="4"/>
      <c r="V946" s="4"/>
      <c r="W946" s="4"/>
      <c r="X946" s="4"/>
      <c r="Y946" s="4"/>
      <c r="Z946" s="4"/>
    </row>
    <row r="947" spans="1:26" ht="15.75" customHeight="1" x14ac:dyDescent="0.2">
      <c r="A947" s="1" t="s">
        <v>1886</v>
      </c>
      <c r="B947" s="1" t="s">
        <v>1887</v>
      </c>
      <c r="C947" s="5" t="str">
        <f ca="1">IFERROR(__xludf.DUMMYFUNCTION("REGEXEXTRACT($B947, $E$2)"),"roberts")</f>
        <v>roberts</v>
      </c>
      <c r="E947" s="4"/>
      <c r="F947" s="4"/>
      <c r="G947" s="4"/>
      <c r="H947" s="4"/>
      <c r="I947" s="4"/>
      <c r="J947" s="4"/>
      <c r="K947" s="4"/>
      <c r="L947" s="4"/>
      <c r="M947" s="4"/>
      <c r="N947" s="4"/>
      <c r="O947" s="4"/>
      <c r="P947" s="4"/>
      <c r="Q947" s="4"/>
      <c r="R947" s="4"/>
      <c r="S947" s="4"/>
      <c r="T947" s="4"/>
      <c r="U947" s="4"/>
      <c r="V947" s="4"/>
      <c r="W947" s="4"/>
      <c r="X947" s="4"/>
      <c r="Y947" s="4"/>
      <c r="Z947" s="4"/>
    </row>
    <row r="948" spans="1:26" ht="15.75" customHeight="1" x14ac:dyDescent="0.2">
      <c r="A948" s="1" t="s">
        <v>1888</v>
      </c>
      <c r="B948" s="1" t="s">
        <v>1889</v>
      </c>
      <c r="C948" s="5" t="str">
        <f ca="1">IFERROR(__xludf.DUMMYFUNCTION("REGEXEXTRACT($B948, $E$2)"),"rc")</f>
        <v>rc</v>
      </c>
      <c r="E948" s="4"/>
      <c r="F948" s="4"/>
      <c r="G948" s="4"/>
      <c r="H948" s="4"/>
      <c r="I948" s="4"/>
      <c r="J948" s="4"/>
      <c r="K948" s="4"/>
      <c r="L948" s="4"/>
      <c r="M948" s="4"/>
      <c r="N948" s="4"/>
      <c r="O948" s="4"/>
      <c r="P948" s="4"/>
      <c r="Q948" s="4"/>
      <c r="R948" s="4"/>
      <c r="S948" s="4"/>
      <c r="T948" s="4"/>
      <c r="U948" s="4"/>
      <c r="V948" s="4"/>
      <c r="W948" s="4"/>
      <c r="X948" s="4"/>
      <c r="Y948" s="4"/>
      <c r="Z948" s="4"/>
    </row>
    <row r="949" spans="1:26" ht="15.75" customHeight="1" x14ac:dyDescent="0.2">
      <c r="A949" s="1" t="s">
        <v>1890</v>
      </c>
      <c r="B949" s="1" t="s">
        <v>1891</v>
      </c>
      <c r="C949" s="5" t="str">
        <f ca="1">IFERROR(__xludf.DUMMYFUNCTION("REGEXEXTRACT($B949, $E$2)"),"rit")</f>
        <v>rit</v>
      </c>
      <c r="E949" s="4"/>
      <c r="F949" s="4"/>
      <c r="G949" s="4"/>
      <c r="H949" s="4"/>
      <c r="I949" s="4"/>
      <c r="J949" s="4"/>
      <c r="K949" s="4"/>
      <c r="L949" s="4"/>
      <c r="M949" s="4"/>
      <c r="N949" s="4"/>
      <c r="O949" s="4"/>
      <c r="P949" s="4"/>
      <c r="Q949" s="4"/>
      <c r="R949" s="4"/>
      <c r="S949" s="4"/>
      <c r="T949" s="4"/>
      <c r="U949" s="4"/>
      <c r="V949" s="4"/>
      <c r="W949" s="4"/>
      <c r="X949" s="4"/>
      <c r="Y949" s="4"/>
      <c r="Z949" s="4"/>
    </row>
    <row r="950" spans="1:26" ht="15.75" customHeight="1" x14ac:dyDescent="0.2">
      <c r="A950" s="1" t="s">
        <v>1892</v>
      </c>
      <c r="B950" s="1" t="s">
        <v>1893</v>
      </c>
      <c r="C950" s="5" t="str">
        <f ca="1">IFERROR(__xludf.DUMMYFUNCTION("REGEXEXTRACT($B950, $E$2)"),"rockford")</f>
        <v>rockford</v>
      </c>
      <c r="E950" s="4"/>
      <c r="F950" s="4"/>
      <c r="G950" s="4"/>
      <c r="H950" s="4"/>
      <c r="I950" s="4"/>
      <c r="J950" s="4"/>
      <c r="K950" s="4"/>
      <c r="L950" s="4"/>
      <c r="M950" s="4"/>
      <c r="N950" s="4"/>
      <c r="O950" s="4"/>
      <c r="P950" s="4"/>
      <c r="Q950" s="4"/>
      <c r="R950" s="4"/>
      <c r="S950" s="4"/>
      <c r="T950" s="4"/>
      <c r="U950" s="4"/>
      <c r="V950" s="4"/>
      <c r="W950" s="4"/>
      <c r="X950" s="4"/>
      <c r="Y950" s="4"/>
      <c r="Z950" s="4"/>
    </row>
    <row r="951" spans="1:26" ht="15.75" customHeight="1" x14ac:dyDescent="0.2">
      <c r="A951" s="1" t="s">
        <v>1894</v>
      </c>
      <c r="B951" s="1" t="s">
        <v>1895</v>
      </c>
      <c r="C951" s="5" t="str">
        <f ca="1">IFERROR(__xludf.DUMMYFUNCTION("REGEXEXTRACT($B951, $E$2)"),"rockhurst")</f>
        <v>rockhurst</v>
      </c>
      <c r="E951" s="4"/>
      <c r="F951" s="4"/>
      <c r="G951" s="4"/>
      <c r="H951" s="4"/>
      <c r="I951" s="4"/>
      <c r="J951" s="4"/>
      <c r="K951" s="4"/>
      <c r="L951" s="4"/>
      <c r="M951" s="4"/>
      <c r="N951" s="4"/>
      <c r="O951" s="4"/>
      <c r="P951" s="4"/>
      <c r="Q951" s="4"/>
      <c r="R951" s="4"/>
      <c r="S951" s="4"/>
      <c r="T951" s="4"/>
      <c r="U951" s="4"/>
      <c r="V951" s="4"/>
      <c r="W951" s="4"/>
      <c r="X951" s="4"/>
      <c r="Y951" s="4"/>
      <c r="Z951" s="4"/>
    </row>
    <row r="952" spans="1:26" ht="15.75" customHeight="1" x14ac:dyDescent="0.2">
      <c r="A952" s="1" t="s">
        <v>1896</v>
      </c>
      <c r="B952" s="1" t="s">
        <v>1897</v>
      </c>
      <c r="C952" s="5" t="str">
        <f ca="1">IFERROR(__xludf.DUMMYFUNCTION("REGEXEXTRACT($B952, $E$2)"),"rocky")</f>
        <v>rocky</v>
      </c>
      <c r="E952" s="4"/>
      <c r="F952" s="4"/>
      <c r="G952" s="4"/>
      <c r="H952" s="4"/>
      <c r="I952" s="4"/>
      <c r="J952" s="4"/>
      <c r="K952" s="4"/>
      <c r="L952" s="4"/>
      <c r="M952" s="4"/>
      <c r="N952" s="4"/>
      <c r="O952" s="4"/>
      <c r="P952" s="4"/>
      <c r="Q952" s="4"/>
      <c r="R952" s="4"/>
      <c r="S952" s="4"/>
      <c r="T952" s="4"/>
      <c r="U952" s="4"/>
      <c r="V952" s="4"/>
      <c r="W952" s="4"/>
      <c r="X952" s="4"/>
      <c r="Y952" s="4"/>
      <c r="Z952" s="4"/>
    </row>
    <row r="953" spans="1:26" ht="15.75" customHeight="1" x14ac:dyDescent="0.2">
      <c r="A953" s="1" t="s">
        <v>1898</v>
      </c>
      <c r="B953" s="1" t="s">
        <v>1899</v>
      </c>
      <c r="C953" s="5" t="str">
        <f ca="1">IFERROR(__xludf.DUMMYFUNCTION("REGEXEXTRACT($B953, $E$2)"),"rmcad")</f>
        <v>rmcad</v>
      </c>
      <c r="E953" s="4"/>
      <c r="F953" s="4"/>
      <c r="G953" s="4"/>
      <c r="H953" s="4"/>
      <c r="I953" s="4"/>
      <c r="J953" s="4"/>
      <c r="K953" s="4"/>
      <c r="L953" s="4"/>
      <c r="M953" s="4"/>
      <c r="N953" s="4"/>
      <c r="O953" s="4"/>
      <c r="P953" s="4"/>
      <c r="Q953" s="4"/>
      <c r="R953" s="4"/>
      <c r="S953" s="4"/>
      <c r="T953" s="4"/>
      <c r="U953" s="4"/>
      <c r="V953" s="4"/>
      <c r="W953" s="4"/>
      <c r="X953" s="4"/>
      <c r="Y953" s="4"/>
      <c r="Z953" s="4"/>
    </row>
    <row r="954" spans="1:26" ht="15.75" customHeight="1" x14ac:dyDescent="0.2">
      <c r="A954" s="1" t="s">
        <v>1900</v>
      </c>
      <c r="B954" s="1" t="s">
        <v>1901</v>
      </c>
      <c r="C954" s="5" t="str">
        <f ca="1">IFERROR(__xludf.DUMMYFUNCTION("REGEXEXTRACT($B954, $E$2)"),"rwu")</f>
        <v>rwu</v>
      </c>
      <c r="E954" s="4"/>
      <c r="F954" s="4"/>
      <c r="G954" s="4"/>
      <c r="H954" s="4"/>
      <c r="I954" s="4"/>
      <c r="J954" s="4"/>
      <c r="K954" s="4"/>
      <c r="L954" s="4"/>
      <c r="M954" s="4"/>
      <c r="N954" s="4"/>
      <c r="O954" s="4"/>
      <c r="P954" s="4"/>
      <c r="Q954" s="4"/>
      <c r="R954" s="4"/>
      <c r="S954" s="4"/>
      <c r="T954" s="4"/>
      <c r="U954" s="4"/>
      <c r="V954" s="4"/>
      <c r="W954" s="4"/>
      <c r="X954" s="4"/>
      <c r="Y954" s="4"/>
      <c r="Z954" s="4"/>
    </row>
    <row r="955" spans="1:26" ht="15.75" customHeight="1" x14ac:dyDescent="0.2">
      <c r="A955" s="1" t="s">
        <v>1902</v>
      </c>
      <c r="B955" s="1" t="s">
        <v>1903</v>
      </c>
      <c r="C955" s="5" t="str">
        <f ca="1">IFERROR(__xludf.DUMMYFUNCTION("REGEXEXTRACT($B955, $E$2)"),"rsu")</f>
        <v>rsu</v>
      </c>
      <c r="E955" s="4"/>
      <c r="F955" s="4"/>
      <c r="G955" s="4"/>
      <c r="H955" s="4"/>
      <c r="I955" s="4"/>
      <c r="J955" s="4"/>
      <c r="K955" s="4"/>
      <c r="L955" s="4"/>
      <c r="M955" s="4"/>
      <c r="N955" s="4"/>
      <c r="O955" s="4"/>
      <c r="P955" s="4"/>
      <c r="Q955" s="4"/>
      <c r="R955" s="4"/>
      <c r="S955" s="4"/>
      <c r="T955" s="4"/>
      <c r="U955" s="4"/>
      <c r="V955" s="4"/>
      <c r="W955" s="4"/>
      <c r="X955" s="4"/>
      <c r="Y955" s="4"/>
      <c r="Z955" s="4"/>
    </row>
    <row r="956" spans="1:26" ht="15.75" customHeight="1" x14ac:dyDescent="0.2">
      <c r="A956" s="1" t="s">
        <v>1904</v>
      </c>
      <c r="B956" s="1" t="s">
        <v>1905</v>
      </c>
      <c r="C956" s="5" t="str">
        <f ca="1">IFERROR(__xludf.DUMMYFUNCTION("REGEXEXTRACT($B956, $E$2)"),"rollins")</f>
        <v>rollins</v>
      </c>
      <c r="E956" s="4"/>
      <c r="F956" s="4"/>
      <c r="G956" s="4"/>
      <c r="H956" s="4"/>
      <c r="I956" s="4"/>
      <c r="J956" s="4"/>
      <c r="K956" s="4"/>
      <c r="L956" s="4"/>
      <c r="M956" s="4"/>
      <c r="N956" s="4"/>
      <c r="O956" s="4"/>
      <c r="P956" s="4"/>
      <c r="Q956" s="4"/>
      <c r="R956" s="4"/>
      <c r="S956" s="4"/>
      <c r="T956" s="4"/>
      <c r="U956" s="4"/>
      <c r="V956" s="4"/>
      <c r="W956" s="4"/>
      <c r="X956" s="4"/>
      <c r="Y956" s="4"/>
      <c r="Z956" s="4"/>
    </row>
    <row r="957" spans="1:26" ht="15.75" customHeight="1" x14ac:dyDescent="0.2">
      <c r="A957" s="1" t="s">
        <v>1906</v>
      </c>
      <c r="B957" s="1" t="s">
        <v>1907</v>
      </c>
      <c r="C957" s="5" t="str">
        <f ca="1">IFERROR(__xludf.DUMMYFUNCTION("REGEXEXTRACT($B957, $E$2)"),"roosevelt")</f>
        <v>roosevelt</v>
      </c>
      <c r="E957" s="4"/>
      <c r="F957" s="4"/>
      <c r="G957" s="4"/>
      <c r="H957" s="4"/>
      <c r="I957" s="4"/>
      <c r="J957" s="4"/>
      <c r="K957" s="4"/>
      <c r="L957" s="4"/>
      <c r="M957" s="4"/>
      <c r="N957" s="4"/>
      <c r="O957" s="4"/>
      <c r="P957" s="4"/>
      <c r="Q957" s="4"/>
      <c r="R957" s="4"/>
      <c r="S957" s="4"/>
      <c r="T957" s="4"/>
      <c r="U957" s="4"/>
      <c r="V957" s="4"/>
      <c r="W957" s="4"/>
      <c r="X957" s="4"/>
      <c r="Y957" s="4"/>
      <c r="Z957" s="4"/>
    </row>
    <row r="958" spans="1:26" ht="15.75" customHeight="1" x14ac:dyDescent="0.2">
      <c r="A958" s="1" t="s">
        <v>1908</v>
      </c>
      <c r="B958" s="1" t="s">
        <v>1909</v>
      </c>
      <c r="C958" s="5" t="str">
        <f ca="1">IFERROR(__xludf.DUMMYFUNCTION("REGEXEXTRACT($B958, $E$2)"),"rose-hulman")</f>
        <v>rose-hulman</v>
      </c>
      <c r="E958" s="4"/>
      <c r="F958" s="4"/>
      <c r="G958" s="4"/>
      <c r="H958" s="4"/>
      <c r="I958" s="4"/>
      <c r="J958" s="4"/>
      <c r="K958" s="4"/>
      <c r="L958" s="4"/>
      <c r="M958" s="4"/>
      <c r="N958" s="4"/>
      <c r="O958" s="4"/>
      <c r="P958" s="4"/>
      <c r="Q958" s="4"/>
      <c r="R958" s="4"/>
      <c r="S958" s="4"/>
      <c r="T958" s="4"/>
      <c r="U958" s="4"/>
      <c r="V958" s="4"/>
      <c r="W958" s="4"/>
      <c r="X958" s="4"/>
      <c r="Y958" s="4"/>
      <c r="Z958" s="4"/>
    </row>
    <row r="959" spans="1:26" ht="15.75" customHeight="1" x14ac:dyDescent="0.2">
      <c r="A959" s="1" t="s">
        <v>1910</v>
      </c>
      <c r="B959" s="1" t="s">
        <v>1911</v>
      </c>
      <c r="C959" s="5" t="str">
        <f ca="1">IFERROR(__xludf.DUMMYFUNCTION("REGEXEXTRACT($B959, $E$2)"),"rosemont")</f>
        <v>rosemont</v>
      </c>
      <c r="E959" s="4"/>
      <c r="F959" s="4"/>
      <c r="G959" s="4"/>
      <c r="H959" s="4"/>
      <c r="I959" s="4"/>
      <c r="J959" s="4"/>
      <c r="K959" s="4"/>
      <c r="L959" s="4"/>
      <c r="M959" s="4"/>
      <c r="N959" s="4"/>
      <c r="O959" s="4"/>
      <c r="P959" s="4"/>
      <c r="Q959" s="4"/>
      <c r="R959" s="4"/>
      <c r="S959" s="4"/>
      <c r="T959" s="4"/>
      <c r="U959" s="4"/>
      <c r="V959" s="4"/>
      <c r="W959" s="4"/>
      <c r="X959" s="4"/>
      <c r="Y959" s="4"/>
      <c r="Z959" s="4"/>
    </row>
    <row r="960" spans="1:26" ht="15.75" customHeight="1" x14ac:dyDescent="0.2">
      <c r="A960" s="1" t="s">
        <v>1912</v>
      </c>
      <c r="B960" s="1" t="s">
        <v>1913</v>
      </c>
      <c r="C960" s="5" t="str">
        <f ca="1">IFERROR(__xludf.DUMMYFUNCTION("REGEXEXTRACT($B960, $E$2)"),"rowan")</f>
        <v>rowan</v>
      </c>
      <c r="E960" s="4"/>
      <c r="F960" s="4"/>
      <c r="G960" s="4"/>
      <c r="H960" s="4"/>
      <c r="I960" s="4"/>
      <c r="J960" s="4"/>
      <c r="K960" s="4"/>
      <c r="L960" s="4"/>
      <c r="M960" s="4"/>
      <c r="N960" s="4"/>
      <c r="O960" s="4"/>
      <c r="P960" s="4"/>
      <c r="Q960" s="4"/>
      <c r="R960" s="4"/>
      <c r="S960" s="4"/>
      <c r="T960" s="4"/>
      <c r="U960" s="4"/>
      <c r="V960" s="4"/>
      <c r="W960" s="4"/>
      <c r="X960" s="4"/>
      <c r="Y960" s="4"/>
      <c r="Z960" s="4"/>
    </row>
    <row r="961" spans="1:26" ht="15.75" customHeight="1" x14ac:dyDescent="0.2">
      <c r="A961" s="1" t="s">
        <v>1914</v>
      </c>
      <c r="B961" s="1" t="s">
        <v>1915</v>
      </c>
      <c r="C961" s="5" t="str">
        <f ca="1">IFERROR(__xludf.DUMMYFUNCTION("REGEXEXTRACT($B961, $E$2)"),"rush")</f>
        <v>rush</v>
      </c>
      <c r="E961" s="4"/>
      <c r="F961" s="4"/>
      <c r="G961" s="4"/>
      <c r="H961" s="4"/>
      <c r="I961" s="4"/>
      <c r="J961" s="4"/>
      <c r="K961" s="4"/>
      <c r="L961" s="4"/>
      <c r="M961" s="4"/>
      <c r="N961" s="4"/>
      <c r="O961" s="4"/>
      <c r="P961" s="4"/>
      <c r="Q961" s="4"/>
      <c r="R961" s="4"/>
      <c r="S961" s="4"/>
      <c r="T961" s="4"/>
      <c r="U961" s="4"/>
      <c r="V961" s="4"/>
      <c r="W961" s="4"/>
      <c r="X961" s="4"/>
      <c r="Y961" s="4"/>
      <c r="Z961" s="4"/>
    </row>
    <row r="962" spans="1:26" ht="15.75" customHeight="1" x14ac:dyDescent="0.2">
      <c r="A962" s="1" t="s">
        <v>1916</v>
      </c>
      <c r="B962" s="1" t="s">
        <v>1917</v>
      </c>
      <c r="C962" s="5" t="str">
        <f ca="1">IFERROR(__xludf.DUMMYFUNCTION("REGEXEXTRACT($B962, $E$2)"),"rustcollege")</f>
        <v>rustcollege</v>
      </c>
      <c r="E962" s="4"/>
      <c r="F962" s="4"/>
      <c r="G962" s="4"/>
      <c r="H962" s="4"/>
      <c r="I962" s="4"/>
      <c r="J962" s="4"/>
      <c r="K962" s="4"/>
      <c r="L962" s="4"/>
      <c r="M962" s="4"/>
      <c r="N962" s="4"/>
      <c r="O962" s="4"/>
      <c r="P962" s="4"/>
      <c r="Q962" s="4"/>
      <c r="R962" s="4"/>
      <c r="S962" s="4"/>
      <c r="T962" s="4"/>
      <c r="U962" s="4"/>
      <c r="V962" s="4"/>
      <c r="W962" s="4"/>
      <c r="X962" s="4"/>
      <c r="Y962" s="4"/>
      <c r="Z962" s="4"/>
    </row>
    <row r="963" spans="1:26" ht="15.75" customHeight="1" x14ac:dyDescent="0.2">
      <c r="A963" s="1" t="s">
        <v>1918</v>
      </c>
      <c r="B963" s="1" t="s">
        <v>1919</v>
      </c>
      <c r="C963" s="5" t="str">
        <f ca="1">IFERROR(__xludf.DUMMYFUNCTION("REGEXEXTRACT($B963, $E$2)"),"rutgers")</f>
        <v>rutgers</v>
      </c>
      <c r="E963" s="4"/>
      <c r="F963" s="4"/>
      <c r="G963" s="4"/>
      <c r="H963" s="4"/>
      <c r="I963" s="4"/>
      <c r="J963" s="4"/>
      <c r="K963" s="4"/>
      <c r="L963" s="4"/>
      <c r="M963" s="4"/>
      <c r="N963" s="4"/>
      <c r="O963" s="4"/>
      <c r="P963" s="4"/>
      <c r="Q963" s="4"/>
      <c r="R963" s="4"/>
      <c r="S963" s="4"/>
      <c r="T963" s="4"/>
      <c r="U963" s="4"/>
      <c r="V963" s="4"/>
      <c r="W963" s="4"/>
      <c r="X963" s="4"/>
      <c r="Y963" s="4"/>
      <c r="Z963" s="4"/>
    </row>
    <row r="964" spans="1:26" ht="15.75" customHeight="1" x14ac:dyDescent="0.2">
      <c r="A964" s="1" t="s">
        <v>1920</v>
      </c>
      <c r="B964" s="1" t="s">
        <v>1921</v>
      </c>
      <c r="C964" s="5" t="str">
        <f ca="1">IFERROR(__xludf.DUMMYFUNCTION("REGEXEXTRACT($B964, $E$2)"),"shms")</f>
        <v>shms</v>
      </c>
      <c r="E964" s="4"/>
      <c r="F964" s="4"/>
      <c r="G964" s="4"/>
      <c r="H964" s="4"/>
      <c r="I964" s="4"/>
      <c r="J964" s="4"/>
      <c r="K964" s="4"/>
      <c r="L964" s="4"/>
      <c r="M964" s="4"/>
      <c r="N964" s="4"/>
      <c r="O964" s="4"/>
      <c r="P964" s="4"/>
      <c r="Q964" s="4"/>
      <c r="R964" s="4"/>
      <c r="S964" s="4"/>
      <c r="T964" s="4"/>
      <c r="U964" s="4"/>
      <c r="V964" s="4"/>
      <c r="W964" s="4"/>
      <c r="X964" s="4"/>
      <c r="Y964" s="4"/>
      <c r="Z964" s="4"/>
    </row>
    <row r="965" spans="1:26" ht="15.75" customHeight="1" x14ac:dyDescent="0.2">
      <c r="A965" s="1" t="s">
        <v>1922</v>
      </c>
      <c r="B965" s="1" t="s">
        <v>1923</v>
      </c>
      <c r="C965" s="5" t="str">
        <f ca="1">IFERROR(__xludf.DUMMYFUNCTION("REGEXEXTRACT($B965, $E$2)"),"sacredheart")</f>
        <v>sacredheart</v>
      </c>
      <c r="E965" s="4"/>
      <c r="F965" s="4"/>
      <c r="G965" s="4"/>
      <c r="H965" s="4"/>
      <c r="I965" s="4"/>
      <c r="J965" s="4"/>
      <c r="K965" s="4"/>
      <c r="L965" s="4"/>
      <c r="M965" s="4"/>
      <c r="N965" s="4"/>
      <c r="O965" s="4"/>
      <c r="P965" s="4"/>
      <c r="Q965" s="4"/>
      <c r="R965" s="4"/>
      <c r="S965" s="4"/>
      <c r="T965" s="4"/>
      <c r="U965" s="4"/>
      <c r="V965" s="4"/>
      <c r="W965" s="4"/>
      <c r="X965" s="4"/>
      <c r="Y965" s="4"/>
      <c r="Z965" s="4"/>
    </row>
    <row r="966" spans="1:26" ht="15.75" customHeight="1" x14ac:dyDescent="0.2">
      <c r="A966" s="1" t="s">
        <v>1924</v>
      </c>
      <c r="B966" s="1" t="s">
        <v>1925</v>
      </c>
      <c r="C966" s="5" t="str">
        <f ca="1">IFERROR(__xludf.DUMMYFUNCTION("REGEXEXTRACT($B966, $E$2)"),"sage")</f>
        <v>sage</v>
      </c>
      <c r="E966" s="4"/>
      <c r="F966" s="4"/>
      <c r="G966" s="4"/>
      <c r="H966" s="4"/>
      <c r="I966" s="4"/>
      <c r="J966" s="4"/>
      <c r="K966" s="4"/>
      <c r="L966" s="4"/>
      <c r="M966" s="4"/>
      <c r="N966" s="4"/>
      <c r="O966" s="4"/>
      <c r="P966" s="4"/>
      <c r="Q966" s="4"/>
      <c r="R966" s="4"/>
      <c r="S966" s="4"/>
      <c r="T966" s="4"/>
      <c r="U966" s="4"/>
      <c r="V966" s="4"/>
      <c r="W966" s="4"/>
      <c r="X966" s="4"/>
      <c r="Y966" s="4"/>
      <c r="Z966" s="4"/>
    </row>
    <row r="967" spans="1:26" ht="15.75" customHeight="1" x14ac:dyDescent="0.2">
      <c r="A967" s="1" t="s">
        <v>1926</v>
      </c>
      <c r="B967" s="1" t="s">
        <v>1927</v>
      </c>
      <c r="C967" s="5" t="str">
        <f ca="1">IFERROR(__xludf.DUMMYFUNCTION("REGEXEXTRACT($B967, $E$2)"),"svsu")</f>
        <v>svsu</v>
      </c>
      <c r="E967" s="4"/>
      <c r="F967" s="4"/>
      <c r="G967" s="4"/>
      <c r="H967" s="4"/>
      <c r="I967" s="4"/>
      <c r="J967" s="4"/>
      <c r="K967" s="4"/>
      <c r="L967" s="4"/>
      <c r="M967" s="4"/>
      <c r="N967" s="4"/>
      <c r="O967" s="4"/>
      <c r="P967" s="4"/>
      <c r="Q967" s="4"/>
      <c r="R967" s="4"/>
      <c r="S967" s="4"/>
      <c r="T967" s="4"/>
      <c r="U967" s="4"/>
      <c r="V967" s="4"/>
      <c r="W967" s="4"/>
      <c r="X967" s="4"/>
      <c r="Y967" s="4"/>
      <c r="Z967" s="4"/>
    </row>
    <row r="968" spans="1:26" ht="15.75" customHeight="1" x14ac:dyDescent="0.2">
      <c r="A968" s="1" t="s">
        <v>1928</v>
      </c>
      <c r="B968" s="1" t="s">
        <v>1929</v>
      </c>
      <c r="C968" s="5" t="str">
        <f ca="1">IFERROR(__xludf.DUMMYFUNCTION("REGEXEXTRACT($B968, $E$2)"),"sagu")</f>
        <v>sagu</v>
      </c>
      <c r="E968" s="4"/>
      <c r="F968" s="4"/>
      <c r="G968" s="4"/>
      <c r="H968" s="4"/>
      <c r="I968" s="4"/>
      <c r="J968" s="4"/>
      <c r="K968" s="4"/>
      <c r="L968" s="4"/>
      <c r="M968" s="4"/>
      <c r="N968" s="4"/>
      <c r="O968" s="4"/>
      <c r="P968" s="4"/>
      <c r="Q968" s="4"/>
      <c r="R968" s="4"/>
      <c r="S968" s="4"/>
      <c r="T968" s="4"/>
      <c r="U968" s="4"/>
      <c r="V968" s="4"/>
      <c r="W968" s="4"/>
      <c r="X968" s="4"/>
      <c r="Y968" s="4"/>
      <c r="Z968" s="4"/>
    </row>
    <row r="969" spans="1:26" ht="15.75" customHeight="1" x14ac:dyDescent="0.2">
      <c r="A969" s="1" t="s">
        <v>1930</v>
      </c>
      <c r="B969" s="1" t="s">
        <v>1931</v>
      </c>
      <c r="C969" s="5" t="str">
        <f ca="1">IFERROR(__xludf.DUMMYFUNCTION("REGEXEXTRACT($B969, $E$2)"),"anselm")</f>
        <v>anselm</v>
      </c>
      <c r="E969" s="4"/>
      <c r="F969" s="4"/>
      <c r="G969" s="4"/>
      <c r="H969" s="4"/>
      <c r="I969" s="4"/>
      <c r="J969" s="4"/>
      <c r="K969" s="4"/>
      <c r="L969" s="4"/>
      <c r="M969" s="4"/>
      <c r="N969" s="4"/>
      <c r="O969" s="4"/>
      <c r="P969" s="4"/>
      <c r="Q969" s="4"/>
      <c r="R969" s="4"/>
      <c r="S969" s="4"/>
      <c r="T969" s="4"/>
      <c r="U969" s="4"/>
      <c r="V969" s="4"/>
      <c r="W969" s="4"/>
      <c r="X969" s="4"/>
      <c r="Y969" s="4"/>
      <c r="Z969" s="4"/>
    </row>
    <row r="970" spans="1:26" ht="15.75" customHeight="1" x14ac:dyDescent="0.2">
      <c r="A970" s="1" t="s">
        <v>1932</v>
      </c>
      <c r="B970" s="1" t="s">
        <v>1933</v>
      </c>
      <c r="C970" s="5" t="str">
        <f ca="1">IFERROR(__xludf.DUMMYFUNCTION("REGEXEXTRACT($B970, $E$2)"),"st-aug")</f>
        <v>st-aug</v>
      </c>
      <c r="E970" s="4"/>
      <c r="F970" s="4"/>
      <c r="G970" s="4"/>
      <c r="H970" s="4"/>
      <c r="I970" s="4"/>
      <c r="J970" s="4"/>
      <c r="K970" s="4"/>
      <c r="L970" s="4"/>
      <c r="M970" s="4"/>
      <c r="N970" s="4"/>
      <c r="O970" s="4"/>
      <c r="P970" s="4"/>
      <c r="Q970" s="4"/>
      <c r="R970" s="4"/>
      <c r="S970" s="4"/>
      <c r="T970" s="4"/>
      <c r="U970" s="4"/>
      <c r="V970" s="4"/>
      <c r="W970" s="4"/>
      <c r="X970" s="4"/>
      <c r="Y970" s="4"/>
      <c r="Z970" s="4"/>
    </row>
    <row r="971" spans="1:26" ht="15.75" customHeight="1" x14ac:dyDescent="0.2">
      <c r="A971" s="1" t="s">
        <v>1934</v>
      </c>
      <c r="B971" s="1" t="s">
        <v>1935</v>
      </c>
      <c r="C971" s="5" t="str">
        <f ca="1">IFERROR(__xludf.DUMMYFUNCTION("REGEXEXTRACT($B971, $E$2)"),"francis")</f>
        <v>francis</v>
      </c>
      <c r="E971" s="4"/>
      <c r="F971" s="4"/>
      <c r="G971" s="4"/>
      <c r="H971" s="4"/>
      <c r="I971" s="4"/>
      <c r="J971" s="4"/>
      <c r="K971" s="4"/>
      <c r="L971" s="4"/>
      <c r="M971" s="4"/>
      <c r="N971" s="4"/>
      <c r="O971" s="4"/>
      <c r="P971" s="4"/>
      <c r="Q971" s="4"/>
      <c r="R971" s="4"/>
      <c r="S971" s="4"/>
      <c r="T971" s="4"/>
      <c r="U971" s="4"/>
      <c r="V971" s="4"/>
      <c r="W971" s="4"/>
      <c r="X971" s="4"/>
      <c r="Y971" s="4"/>
      <c r="Z971" s="4"/>
    </row>
    <row r="972" spans="1:26" ht="15.75" customHeight="1" x14ac:dyDescent="0.2">
      <c r="A972" s="1" t="s">
        <v>1936</v>
      </c>
      <c r="B972" s="1" t="s">
        <v>1937</v>
      </c>
      <c r="C972" s="5" t="str">
        <f ca="1">IFERROR(__xludf.DUMMYFUNCTION("REGEXEXTRACT($B972, $E$2)"),"sjcme")</f>
        <v>sjcme</v>
      </c>
      <c r="E972" s="4"/>
      <c r="F972" s="4"/>
      <c r="G972" s="4"/>
      <c r="H972" s="4"/>
      <c r="I972" s="4"/>
      <c r="J972" s="4"/>
      <c r="K972" s="4"/>
      <c r="L972" s="4"/>
      <c r="M972" s="4"/>
      <c r="N972" s="4"/>
      <c r="O972" s="4"/>
      <c r="P972" s="4"/>
      <c r="Q972" s="4"/>
      <c r="R972" s="4"/>
      <c r="S972" s="4"/>
      <c r="T972" s="4"/>
      <c r="U972" s="4"/>
      <c r="V972" s="4"/>
      <c r="W972" s="4"/>
      <c r="X972" s="4"/>
      <c r="Y972" s="4"/>
      <c r="Z972" s="4"/>
    </row>
    <row r="973" spans="1:26" ht="15.75" customHeight="1" x14ac:dyDescent="0.2">
      <c r="A973" s="1" t="s">
        <v>1938</v>
      </c>
      <c r="B973" s="1" t="s">
        <v>1939</v>
      </c>
      <c r="C973" s="5" t="str">
        <f ca="1">IFERROR(__xludf.DUMMYFUNCTION("REGEXEXTRACT($B973, $E$2)"),"sju")</f>
        <v>sju</v>
      </c>
      <c r="E973" s="4"/>
      <c r="F973" s="4"/>
      <c r="G973" s="4"/>
      <c r="H973" s="4"/>
      <c r="I973" s="4"/>
      <c r="J973" s="4"/>
      <c r="K973" s="4"/>
      <c r="L973" s="4"/>
      <c r="M973" s="4"/>
      <c r="N973" s="4"/>
      <c r="O973" s="4"/>
      <c r="P973" s="4"/>
      <c r="Q973" s="4"/>
      <c r="R973" s="4"/>
      <c r="S973" s="4"/>
      <c r="T973" s="4"/>
      <c r="U973" s="4"/>
      <c r="V973" s="4"/>
      <c r="W973" s="4"/>
      <c r="X973" s="4"/>
      <c r="Y973" s="4"/>
      <c r="Z973" s="4"/>
    </row>
    <row r="974" spans="1:26" ht="15.75" customHeight="1" x14ac:dyDescent="0.2">
      <c r="A974" s="1" t="s">
        <v>1940</v>
      </c>
      <c r="B974" s="1" t="s">
        <v>1941</v>
      </c>
      <c r="C974" s="5" t="str">
        <f ca="1">IFERROR(__xludf.DUMMYFUNCTION("REGEXEXTRACT($B974, $E$2)"),"saintleo")</f>
        <v>saintleo</v>
      </c>
      <c r="E974" s="4"/>
      <c r="F974" s="4"/>
      <c r="G974" s="4"/>
      <c r="H974" s="4"/>
      <c r="I974" s="4"/>
      <c r="J974" s="4"/>
      <c r="K974" s="4"/>
      <c r="L974" s="4"/>
      <c r="M974" s="4"/>
      <c r="N974" s="4"/>
      <c r="O974" s="4"/>
      <c r="P974" s="4"/>
      <c r="Q974" s="4"/>
      <c r="R974" s="4"/>
      <c r="S974" s="4"/>
      <c r="T974" s="4"/>
      <c r="U974" s="4"/>
      <c r="V974" s="4"/>
      <c r="W974" s="4"/>
      <c r="X974" s="4"/>
      <c r="Y974" s="4"/>
      <c r="Z974" s="4"/>
    </row>
    <row r="975" spans="1:26" ht="15.75" customHeight="1" x14ac:dyDescent="0.2">
      <c r="A975" s="1" t="s">
        <v>1942</v>
      </c>
      <c r="B975" s="1" t="s">
        <v>1943</v>
      </c>
      <c r="C975" s="5" t="str">
        <f ca="1">IFERROR(__xludf.DUMMYFUNCTION("REGEXEXTRACT($B975, $E$2)"),"slu")</f>
        <v>slu</v>
      </c>
      <c r="E975" s="4"/>
      <c r="F975" s="4"/>
      <c r="G975" s="4"/>
      <c r="H975" s="4"/>
      <c r="I975" s="4"/>
      <c r="J975" s="4"/>
      <c r="K975" s="4"/>
      <c r="L975" s="4"/>
      <c r="M975" s="4"/>
      <c r="N975" s="4"/>
      <c r="O975" s="4"/>
      <c r="P975" s="4"/>
      <c r="Q975" s="4"/>
      <c r="R975" s="4"/>
      <c r="S975" s="4"/>
      <c r="T975" s="4"/>
      <c r="U975" s="4"/>
      <c r="V975" s="4"/>
      <c r="W975" s="4"/>
      <c r="X975" s="4"/>
      <c r="Y975" s="4"/>
      <c r="Z975" s="4"/>
    </row>
    <row r="976" spans="1:26" ht="15.75" customHeight="1" x14ac:dyDescent="0.2">
      <c r="A976" s="1" t="s">
        <v>1944</v>
      </c>
      <c r="B976" s="1" t="s">
        <v>1945</v>
      </c>
      <c r="C976" s="5" t="str">
        <f ca="1">IFERROR(__xludf.DUMMYFUNCTION("REGEXEXTRACT($B976, $E$2)"),"stmartin")</f>
        <v>stmartin</v>
      </c>
      <c r="E976" s="4"/>
      <c r="F976" s="4"/>
      <c r="G976" s="4"/>
      <c r="H976" s="4"/>
      <c r="I976" s="4"/>
      <c r="J976" s="4"/>
      <c r="K976" s="4"/>
      <c r="L976" s="4"/>
      <c r="M976" s="4"/>
      <c r="N976" s="4"/>
      <c r="O976" s="4"/>
      <c r="P976" s="4"/>
      <c r="Q976" s="4"/>
      <c r="R976" s="4"/>
      <c r="S976" s="4"/>
      <c r="T976" s="4"/>
      <c r="U976" s="4"/>
      <c r="V976" s="4"/>
      <c r="W976" s="4"/>
      <c r="X976" s="4"/>
      <c r="Y976" s="4"/>
      <c r="Z976" s="4"/>
    </row>
    <row r="977" spans="1:26" ht="15.75" customHeight="1" x14ac:dyDescent="0.2">
      <c r="A977" s="1" t="s">
        <v>1946</v>
      </c>
      <c r="B977" s="1" t="s">
        <v>1947</v>
      </c>
      <c r="C977" s="5" t="str">
        <f ca="1">IFERROR(__xludf.DUMMYFUNCTION("REGEXEXTRACT($B977, $E$2)"),"smwc")</f>
        <v>smwc</v>
      </c>
      <c r="E977" s="4"/>
      <c r="F977" s="4"/>
      <c r="G977" s="4"/>
      <c r="H977" s="4"/>
      <c r="I977" s="4"/>
      <c r="J977" s="4"/>
      <c r="K977" s="4"/>
      <c r="L977" s="4"/>
      <c r="M977" s="4"/>
      <c r="N977" s="4"/>
      <c r="O977" s="4"/>
      <c r="P977" s="4"/>
      <c r="Q977" s="4"/>
      <c r="R977" s="4"/>
      <c r="S977" s="4"/>
      <c r="T977" s="4"/>
      <c r="U977" s="4"/>
      <c r="V977" s="4"/>
      <c r="W977" s="4"/>
      <c r="X977" s="4"/>
      <c r="Y977" s="4"/>
      <c r="Z977" s="4"/>
    </row>
    <row r="978" spans="1:26" ht="15.75" customHeight="1" x14ac:dyDescent="0.2">
      <c r="A978" s="1" t="s">
        <v>1948</v>
      </c>
      <c r="B978" s="1" t="s">
        <v>1949</v>
      </c>
      <c r="C978" s="5" t="str">
        <f ca="1">IFERROR(__xludf.DUMMYFUNCTION("REGEXEXTRACT($B978, $E$2)"),"saintmarys")</f>
        <v>saintmarys</v>
      </c>
      <c r="E978" s="4"/>
      <c r="F978" s="4"/>
      <c r="G978" s="4"/>
      <c r="H978" s="4"/>
      <c r="I978" s="4"/>
      <c r="J978" s="4"/>
      <c r="K978" s="4"/>
      <c r="L978" s="4"/>
      <c r="M978" s="4"/>
      <c r="N978" s="4"/>
      <c r="O978" s="4"/>
      <c r="P978" s="4"/>
      <c r="Q978" s="4"/>
      <c r="R978" s="4"/>
      <c r="S978" s="4"/>
      <c r="T978" s="4"/>
      <c r="U978" s="4"/>
      <c r="V978" s="4"/>
      <c r="W978" s="4"/>
      <c r="X978" s="4"/>
      <c r="Y978" s="4"/>
      <c r="Z978" s="4"/>
    </row>
    <row r="979" spans="1:26" ht="15.75" customHeight="1" x14ac:dyDescent="0.2">
      <c r="A979" s="1" t="s">
        <v>1950</v>
      </c>
      <c r="B979" s="1" t="s">
        <v>1951</v>
      </c>
      <c r="C979" s="5" t="str">
        <f ca="1">IFERROR(__xludf.DUMMYFUNCTION("REGEXEXTRACT($B979, $E$2)"),"stmarys-ca")</f>
        <v>stmarys-ca</v>
      </c>
      <c r="E979" s="4"/>
      <c r="F979" s="4"/>
      <c r="G979" s="4"/>
      <c r="H979" s="4"/>
      <c r="I979" s="4"/>
      <c r="J979" s="4"/>
      <c r="K979" s="4"/>
      <c r="L979" s="4"/>
      <c r="M979" s="4"/>
      <c r="N979" s="4"/>
      <c r="O979" s="4"/>
      <c r="P979" s="4"/>
      <c r="Q979" s="4"/>
      <c r="R979" s="4"/>
      <c r="S979" s="4"/>
      <c r="T979" s="4"/>
      <c r="U979" s="4"/>
      <c r="V979" s="4"/>
      <c r="W979" s="4"/>
      <c r="X979" s="4"/>
      <c r="Y979" s="4"/>
      <c r="Z979" s="4"/>
    </row>
    <row r="980" spans="1:26" ht="15.75" customHeight="1" x14ac:dyDescent="0.2">
      <c r="A980" s="1" t="s">
        <v>1952</v>
      </c>
      <c r="B980" s="1" t="s">
        <v>1953</v>
      </c>
      <c r="C980" s="5" t="str">
        <f ca="1">IFERROR(__xludf.DUMMYFUNCTION("REGEXEXTRACT($B980, $E$2)"),"smumn")</f>
        <v>smumn</v>
      </c>
      <c r="E980" s="4"/>
      <c r="F980" s="4"/>
      <c r="G980" s="4"/>
      <c r="H980" s="4"/>
      <c r="I980" s="4"/>
      <c r="J980" s="4"/>
      <c r="K980" s="4"/>
      <c r="L980" s="4"/>
      <c r="M980" s="4"/>
      <c r="N980" s="4"/>
      <c r="O980" s="4"/>
      <c r="P980" s="4"/>
      <c r="Q980" s="4"/>
      <c r="R980" s="4"/>
      <c r="S980" s="4"/>
      <c r="T980" s="4"/>
      <c r="U980" s="4"/>
      <c r="V980" s="4"/>
      <c r="W980" s="4"/>
      <c r="X980" s="4"/>
      <c r="Y980" s="4"/>
      <c r="Z980" s="4"/>
    </row>
    <row r="981" spans="1:26" ht="15.75" customHeight="1" x14ac:dyDescent="0.2">
      <c r="A981" s="1" t="s">
        <v>1954</v>
      </c>
      <c r="B981" s="1" t="s">
        <v>1955</v>
      </c>
      <c r="C981" s="5" t="str">
        <f ca="1">IFERROR(__xludf.DUMMYFUNCTION("REGEXEXTRACT($B981, $E$2)"),"smcvt")</f>
        <v>smcvt</v>
      </c>
      <c r="E981" s="4"/>
      <c r="F981" s="4"/>
      <c r="G981" s="4"/>
      <c r="H981" s="4"/>
      <c r="I981" s="4"/>
      <c r="J981" s="4"/>
      <c r="K981" s="4"/>
      <c r="L981" s="4"/>
      <c r="M981" s="4"/>
      <c r="N981" s="4"/>
      <c r="O981" s="4"/>
      <c r="P981" s="4"/>
      <c r="Q981" s="4"/>
      <c r="R981" s="4"/>
      <c r="S981" s="4"/>
      <c r="T981" s="4"/>
      <c r="U981" s="4"/>
      <c r="V981" s="4"/>
      <c r="W981" s="4"/>
      <c r="X981" s="4"/>
      <c r="Y981" s="4"/>
      <c r="Z981" s="4"/>
    </row>
    <row r="982" spans="1:26" ht="15.75" customHeight="1" x14ac:dyDescent="0.2">
      <c r="A982" s="1" t="s">
        <v>1956</v>
      </c>
      <c r="B982" s="1" t="s">
        <v>1957</v>
      </c>
      <c r="C982" s="5" t="str">
        <f ca="1">IFERROR(__xludf.DUMMYFUNCTION("REGEXEXTRACT($B982, $E$2)"),"saintpeters")</f>
        <v>saintpeters</v>
      </c>
      <c r="E982" s="4"/>
      <c r="F982" s="4"/>
      <c r="G982" s="4"/>
      <c r="H982" s="4"/>
      <c r="I982" s="4"/>
      <c r="J982" s="4"/>
      <c r="K982" s="4"/>
      <c r="L982" s="4"/>
      <c r="M982" s="4"/>
      <c r="N982" s="4"/>
      <c r="O982" s="4"/>
      <c r="P982" s="4"/>
      <c r="Q982" s="4"/>
      <c r="R982" s="4"/>
      <c r="S982" s="4"/>
      <c r="T982" s="4"/>
      <c r="U982" s="4"/>
      <c r="V982" s="4"/>
      <c r="W982" s="4"/>
      <c r="X982" s="4"/>
      <c r="Y982" s="4"/>
      <c r="Z982" s="4"/>
    </row>
    <row r="983" spans="1:26" ht="15.75" customHeight="1" x14ac:dyDescent="0.2">
      <c r="A983" s="1" t="s">
        <v>1958</v>
      </c>
      <c r="B983" s="1" t="s">
        <v>1959</v>
      </c>
      <c r="C983" s="5" t="str">
        <f ca="1">IFERROR(__xludf.DUMMYFUNCTION("REGEXEXTRACT($B983, $E$2)"),"stvincent")</f>
        <v>stvincent</v>
      </c>
      <c r="E983" s="4"/>
      <c r="F983" s="4"/>
      <c r="G983" s="4"/>
      <c r="H983" s="4"/>
      <c r="I983" s="4"/>
      <c r="J983" s="4"/>
      <c r="K983" s="4"/>
      <c r="L983" s="4"/>
      <c r="M983" s="4"/>
      <c r="N983" s="4"/>
      <c r="O983" s="4"/>
      <c r="P983" s="4"/>
      <c r="Q983" s="4"/>
      <c r="R983" s="4"/>
      <c r="S983" s="4"/>
      <c r="T983" s="4"/>
      <c r="U983" s="4"/>
      <c r="V983" s="4"/>
      <c r="W983" s="4"/>
      <c r="X983" s="4"/>
      <c r="Y983" s="4"/>
      <c r="Z983" s="4"/>
    </row>
    <row r="984" spans="1:26" ht="15.75" customHeight="1" x14ac:dyDescent="0.2">
      <c r="A984" s="1" t="s">
        <v>1960</v>
      </c>
      <c r="B984" s="1" t="s">
        <v>1961</v>
      </c>
      <c r="C984" s="5" t="str">
        <f ca="1">IFERROR(__xludf.DUMMYFUNCTION("REGEXEXTRACT($B984, $E$2)"),"sxu")</f>
        <v>sxu</v>
      </c>
      <c r="E984" s="4"/>
      <c r="F984" s="4"/>
      <c r="G984" s="4"/>
      <c r="H984" s="4"/>
      <c r="I984" s="4"/>
      <c r="J984" s="4"/>
      <c r="K984" s="4"/>
      <c r="L984" s="4"/>
      <c r="M984" s="4"/>
      <c r="N984" s="4"/>
      <c r="O984" s="4"/>
      <c r="P984" s="4"/>
      <c r="Q984" s="4"/>
      <c r="R984" s="4"/>
      <c r="S984" s="4"/>
      <c r="T984" s="4"/>
      <c r="U984" s="4"/>
      <c r="V984" s="4"/>
      <c r="W984" s="4"/>
      <c r="X984" s="4"/>
      <c r="Y984" s="4"/>
      <c r="Z984" s="4"/>
    </row>
    <row r="985" spans="1:26" ht="15.75" customHeight="1" x14ac:dyDescent="0.2">
      <c r="A985" s="1" t="s">
        <v>1962</v>
      </c>
      <c r="B985" s="1" t="s">
        <v>1963</v>
      </c>
      <c r="C985" s="5" t="str">
        <f ca="1">IFERROR(__xludf.DUMMYFUNCTION("REGEXEXTRACT($B985, $E$2)"),"salem")</f>
        <v>salem</v>
      </c>
      <c r="E985" s="4"/>
      <c r="F985" s="4"/>
      <c r="G985" s="4"/>
      <c r="H985" s="4"/>
      <c r="I985" s="4"/>
      <c r="J985" s="4"/>
      <c r="K985" s="4"/>
      <c r="L985" s="4"/>
      <c r="M985" s="4"/>
      <c r="N985" s="4"/>
      <c r="O985" s="4"/>
      <c r="P985" s="4"/>
      <c r="Q985" s="4"/>
      <c r="R985" s="4"/>
      <c r="S985" s="4"/>
      <c r="T985" s="4"/>
      <c r="U985" s="4"/>
      <c r="V985" s="4"/>
      <c r="W985" s="4"/>
      <c r="X985" s="4"/>
      <c r="Y985" s="4"/>
      <c r="Z985" s="4"/>
    </row>
    <row r="986" spans="1:26" ht="15.75" customHeight="1" x14ac:dyDescent="0.2">
      <c r="A986" s="1" t="s">
        <v>1964</v>
      </c>
      <c r="B986" s="1" t="s">
        <v>1965</v>
      </c>
      <c r="C986" s="5" t="str">
        <f ca="1">IFERROR(__xludf.DUMMYFUNCTION("REGEXEXTRACT($B986, $E$2)"),"salemstate")</f>
        <v>salemstate</v>
      </c>
      <c r="E986" s="4"/>
      <c r="F986" s="4"/>
      <c r="G986" s="4"/>
      <c r="H986" s="4"/>
      <c r="I986" s="4"/>
      <c r="J986" s="4"/>
      <c r="K986" s="4"/>
      <c r="L986" s="4"/>
      <c r="M986" s="4"/>
      <c r="N986" s="4"/>
      <c r="O986" s="4"/>
      <c r="P986" s="4"/>
      <c r="Q986" s="4"/>
      <c r="R986" s="4"/>
      <c r="S986" s="4"/>
      <c r="T986" s="4"/>
      <c r="U986" s="4"/>
      <c r="V986" s="4"/>
      <c r="W986" s="4"/>
      <c r="X986" s="4"/>
      <c r="Y986" s="4"/>
      <c r="Z986" s="4"/>
    </row>
    <row r="987" spans="1:26" ht="15.75" customHeight="1" x14ac:dyDescent="0.2">
      <c r="A987" s="1" t="s">
        <v>1966</v>
      </c>
      <c r="B987" s="1" t="s">
        <v>1967</v>
      </c>
      <c r="C987" s="5" t="str">
        <f ca="1">IFERROR(__xludf.DUMMYFUNCTION("REGEXEXTRACT($B987, $E$2)"),"salisbury")</f>
        <v>salisbury</v>
      </c>
      <c r="E987" s="4"/>
      <c r="F987" s="4"/>
      <c r="G987" s="4"/>
      <c r="H987" s="4"/>
      <c r="I987" s="4"/>
      <c r="J987" s="4"/>
      <c r="K987" s="4"/>
      <c r="L987" s="4"/>
      <c r="M987" s="4"/>
      <c r="N987" s="4"/>
      <c r="O987" s="4"/>
      <c r="P987" s="4"/>
      <c r="Q987" s="4"/>
      <c r="R987" s="4"/>
      <c r="S987" s="4"/>
      <c r="T987" s="4"/>
      <c r="U987" s="4"/>
      <c r="V987" s="4"/>
      <c r="W987" s="4"/>
      <c r="X987" s="4"/>
      <c r="Y987" s="4"/>
      <c r="Z987" s="4"/>
    </row>
    <row r="988" spans="1:26" ht="15.75" customHeight="1" x14ac:dyDescent="0.2">
      <c r="A988" s="1" t="s">
        <v>1968</v>
      </c>
      <c r="B988" s="1" t="s">
        <v>1969</v>
      </c>
      <c r="C988" s="5" t="str">
        <f ca="1">IFERROR(__xludf.DUMMYFUNCTION("REGEXEXTRACT($B988, $E$2)"),"salve")</f>
        <v>salve</v>
      </c>
      <c r="E988" s="4"/>
      <c r="F988" s="4"/>
      <c r="G988" s="4"/>
      <c r="H988" s="4"/>
      <c r="I988" s="4"/>
      <c r="J988" s="4"/>
      <c r="K988" s="4"/>
      <c r="L988" s="4"/>
      <c r="M988" s="4"/>
      <c r="N988" s="4"/>
      <c r="O988" s="4"/>
      <c r="P988" s="4"/>
      <c r="Q988" s="4"/>
      <c r="R988" s="4"/>
      <c r="S988" s="4"/>
      <c r="T988" s="4"/>
      <c r="U988" s="4"/>
      <c r="V988" s="4"/>
      <c r="W988" s="4"/>
      <c r="X988" s="4"/>
      <c r="Y988" s="4"/>
      <c r="Z988" s="4"/>
    </row>
    <row r="989" spans="1:26" ht="15.75" customHeight="1" x14ac:dyDescent="0.2">
      <c r="A989" s="1" t="s">
        <v>1970</v>
      </c>
      <c r="B989" s="1" t="s">
        <v>1971</v>
      </c>
      <c r="C989" s="5" t="str">
        <f ca="1">IFERROR(__xludf.DUMMYFUNCTION("REGEXEXTRACT($B989, $E$2)"),"shsu")</f>
        <v>shsu</v>
      </c>
      <c r="E989" s="4"/>
      <c r="F989" s="4"/>
      <c r="G989" s="4"/>
      <c r="H989" s="4"/>
      <c r="I989" s="4"/>
      <c r="J989" s="4"/>
      <c r="K989" s="4"/>
      <c r="L989" s="4"/>
      <c r="M989" s="4"/>
      <c r="N989" s="4"/>
      <c r="O989" s="4"/>
      <c r="P989" s="4"/>
      <c r="Q989" s="4"/>
      <c r="R989" s="4"/>
      <c r="S989" s="4"/>
      <c r="T989" s="4"/>
      <c r="U989" s="4"/>
      <c r="V989" s="4"/>
      <c r="W989" s="4"/>
      <c r="X989" s="4"/>
      <c r="Y989" s="4"/>
      <c r="Z989" s="4"/>
    </row>
    <row r="990" spans="1:26" ht="15.75" customHeight="1" x14ac:dyDescent="0.2">
      <c r="A990" s="1" t="s">
        <v>1972</v>
      </c>
      <c r="B990" s="1" t="s">
        <v>1973</v>
      </c>
      <c r="C990" s="5" t="str">
        <f ca="1">IFERROR(__xludf.DUMMYFUNCTION("REGEXEXTRACT($B990, $E$2)"),"samford")</f>
        <v>samford</v>
      </c>
      <c r="E990" s="4"/>
      <c r="F990" s="4"/>
      <c r="G990" s="4"/>
      <c r="H990" s="4"/>
      <c r="I990" s="4"/>
      <c r="J990" s="4"/>
      <c r="K990" s="4"/>
      <c r="L990" s="4"/>
      <c r="M990" s="4"/>
      <c r="N990" s="4"/>
      <c r="O990" s="4"/>
      <c r="P990" s="4"/>
      <c r="Q990" s="4"/>
      <c r="R990" s="4"/>
      <c r="S990" s="4"/>
      <c r="T990" s="4"/>
      <c r="U990" s="4"/>
      <c r="V990" s="4"/>
      <c r="W990" s="4"/>
      <c r="X990" s="4"/>
      <c r="Y990" s="4"/>
      <c r="Z990" s="4"/>
    </row>
    <row r="991" spans="1:26" ht="15.75" customHeight="1" x14ac:dyDescent="0.2">
      <c r="A991" s="1" t="s">
        <v>1974</v>
      </c>
      <c r="B991" s="1" t="s">
        <v>1975</v>
      </c>
      <c r="C991" s="5" t="str">
        <f ca="1">IFERROR(__xludf.DUMMYFUNCTION("REGEXEXTRACT($B991, $E$2)"),"sdcc")</f>
        <v>sdcc</v>
      </c>
      <c r="E991" s="4"/>
      <c r="F991" s="4"/>
      <c r="G991" s="4"/>
      <c r="H991" s="4"/>
      <c r="I991" s="4"/>
      <c r="J991" s="4"/>
      <c r="K991" s="4"/>
      <c r="L991" s="4"/>
      <c r="M991" s="4"/>
      <c r="N991" s="4"/>
      <c r="O991" s="4"/>
      <c r="P991" s="4"/>
      <c r="Q991" s="4"/>
      <c r="R991" s="4"/>
      <c r="S991" s="4"/>
      <c r="T991" s="4"/>
      <c r="U991" s="4"/>
      <c r="V991" s="4"/>
      <c r="W991" s="4"/>
      <c r="X991" s="4"/>
      <c r="Y991" s="4"/>
      <c r="Z991" s="4"/>
    </row>
    <row r="992" spans="1:26" ht="15.75" customHeight="1" x14ac:dyDescent="0.2">
      <c r="A992" s="1" t="s">
        <v>1976</v>
      </c>
      <c r="B992" s="1" t="s">
        <v>1977</v>
      </c>
      <c r="C992" s="5" t="str">
        <f ca="1">IFERROR(__xludf.DUMMYFUNCTION("REGEXEXTRACT($B992, $E$2)"),"sdsu")</f>
        <v>sdsu</v>
      </c>
      <c r="E992" s="4"/>
      <c r="F992" s="4"/>
      <c r="G992" s="4"/>
      <c r="H992" s="4"/>
      <c r="I992" s="4"/>
      <c r="J992" s="4"/>
      <c r="K992" s="4"/>
      <c r="L992" s="4"/>
      <c r="M992" s="4"/>
      <c r="N992" s="4"/>
      <c r="O992" s="4"/>
      <c r="P992" s="4"/>
      <c r="Q992" s="4"/>
      <c r="R992" s="4"/>
      <c r="S992" s="4"/>
      <c r="T992" s="4"/>
      <c r="U992" s="4"/>
      <c r="V992" s="4"/>
      <c r="W992" s="4"/>
      <c r="X992" s="4"/>
      <c r="Y992" s="4"/>
      <c r="Z992" s="4"/>
    </row>
    <row r="993" spans="1:26" ht="15.75" customHeight="1" x14ac:dyDescent="0.2">
      <c r="A993" s="1" t="s">
        <v>1978</v>
      </c>
      <c r="B993" s="1" t="s">
        <v>1979</v>
      </c>
      <c r="C993" s="5" t="str">
        <f ca="1">IFERROR(__xludf.DUMMYFUNCTION("REGEXEXTRACT($B993, $E$2)"),"sfai")</f>
        <v>sfai</v>
      </c>
      <c r="E993" s="4"/>
      <c r="F993" s="4"/>
      <c r="G993" s="4"/>
      <c r="H993" s="4"/>
      <c r="I993" s="4"/>
      <c r="J993" s="4"/>
      <c r="K993" s="4"/>
      <c r="L993" s="4"/>
      <c r="M993" s="4"/>
      <c r="N993" s="4"/>
      <c r="O993" s="4"/>
      <c r="P993" s="4"/>
      <c r="Q993" s="4"/>
      <c r="R993" s="4"/>
      <c r="S993" s="4"/>
      <c r="T993" s="4"/>
      <c r="U993" s="4"/>
      <c r="V993" s="4"/>
      <c r="W993" s="4"/>
      <c r="X993" s="4"/>
      <c r="Y993" s="4"/>
      <c r="Z993" s="4"/>
    </row>
    <row r="994" spans="1:26" ht="15.75" customHeight="1" x14ac:dyDescent="0.2">
      <c r="A994" s="1" t="s">
        <v>1980</v>
      </c>
      <c r="B994" s="1" t="s">
        <v>1981</v>
      </c>
      <c r="C994" s="5" t="str">
        <f ca="1">IFERROR(__xludf.DUMMYFUNCTION("REGEXEXTRACT($B994, $E$2)"),"sfcm")</f>
        <v>sfcm</v>
      </c>
      <c r="E994" s="4"/>
      <c r="F994" s="4"/>
      <c r="G994" s="4"/>
      <c r="H994" s="4"/>
      <c r="I994" s="4"/>
      <c r="J994" s="4"/>
      <c r="K994" s="4"/>
      <c r="L994" s="4"/>
      <c r="M994" s="4"/>
      <c r="N994" s="4"/>
      <c r="O994" s="4"/>
      <c r="P994" s="4"/>
      <c r="Q994" s="4"/>
      <c r="R994" s="4"/>
      <c r="S994" s="4"/>
      <c r="T994" s="4"/>
      <c r="U994" s="4"/>
      <c r="V994" s="4"/>
      <c r="W994" s="4"/>
      <c r="X994" s="4"/>
      <c r="Y994" s="4"/>
      <c r="Z994" s="4"/>
    </row>
    <row r="995" spans="1:26" ht="15.75" customHeight="1" x14ac:dyDescent="0.2">
      <c r="A995" s="1" t="s">
        <v>1982</v>
      </c>
      <c r="B995" s="1" t="s">
        <v>1983</v>
      </c>
      <c r="C995" s="5" t="str">
        <f ca="1">IFERROR(__xludf.DUMMYFUNCTION("REGEXEXTRACT($B995, $E$2)"),"sfsu")</f>
        <v>sfsu</v>
      </c>
      <c r="E995" s="4"/>
      <c r="F995" s="4"/>
      <c r="G995" s="4"/>
      <c r="H995" s="4"/>
      <c r="I995" s="4"/>
      <c r="J995" s="4"/>
      <c r="K995" s="4"/>
      <c r="L995" s="4"/>
      <c r="M995" s="4"/>
      <c r="N995" s="4"/>
      <c r="O995" s="4"/>
      <c r="P995" s="4"/>
      <c r="Q995" s="4"/>
      <c r="R995" s="4"/>
      <c r="S995" s="4"/>
      <c r="T995" s="4"/>
      <c r="U995" s="4"/>
      <c r="V995" s="4"/>
      <c r="W995" s="4"/>
      <c r="X995" s="4"/>
      <c r="Y995" s="4"/>
      <c r="Z995" s="4"/>
    </row>
    <row r="996" spans="1:26" ht="15.75" customHeight="1" x14ac:dyDescent="0.2">
      <c r="A996" s="1" t="s">
        <v>1984</v>
      </c>
      <c r="B996" s="1" t="s">
        <v>1985</v>
      </c>
      <c r="C996" s="5" t="str">
        <f ca="1">IFERROR(__xludf.DUMMYFUNCTION("REGEXEXTRACT($B996, $E$2)"),"sjsu")</f>
        <v>sjsu</v>
      </c>
      <c r="E996" s="4"/>
      <c r="F996" s="4"/>
      <c r="G996" s="4"/>
      <c r="H996" s="4"/>
      <c r="I996" s="4"/>
      <c r="J996" s="4"/>
      <c r="K996" s="4"/>
      <c r="L996" s="4"/>
      <c r="M996" s="4"/>
      <c r="N996" s="4"/>
      <c r="O996" s="4"/>
      <c r="P996" s="4"/>
      <c r="Q996" s="4"/>
      <c r="R996" s="4"/>
      <c r="S996" s="4"/>
      <c r="T996" s="4"/>
      <c r="U996" s="4"/>
      <c r="V996" s="4"/>
      <c r="W996" s="4"/>
      <c r="X996" s="4"/>
      <c r="Y996" s="4"/>
      <c r="Z996" s="4"/>
    </row>
    <row r="997" spans="1:26" ht="15.75" customHeight="1" x14ac:dyDescent="0.2">
      <c r="A997" s="1" t="s">
        <v>1986</v>
      </c>
      <c r="B997" s="1" t="s">
        <v>1987</v>
      </c>
      <c r="C997" s="5" t="str">
        <f ca="1">IFERROR(__xludf.DUMMYFUNCTION("REGEXEXTRACT($B997, $E$2)"),"scu")</f>
        <v>scu</v>
      </c>
      <c r="E997" s="4"/>
      <c r="F997" s="4"/>
      <c r="G997" s="4"/>
      <c r="H997" s="4"/>
      <c r="I997" s="4"/>
      <c r="J997" s="4"/>
      <c r="K997" s="4"/>
      <c r="L997" s="4"/>
      <c r="M997" s="4"/>
      <c r="N997" s="4"/>
      <c r="O997" s="4"/>
      <c r="P997" s="4"/>
      <c r="Q997" s="4"/>
      <c r="R997" s="4"/>
      <c r="S997" s="4"/>
      <c r="T997" s="4"/>
      <c r="U997" s="4"/>
      <c r="V997" s="4"/>
      <c r="W997" s="4"/>
      <c r="X997" s="4"/>
      <c r="Y997" s="4"/>
      <c r="Z997" s="4"/>
    </row>
    <row r="998" spans="1:26" ht="15.75" customHeight="1" x14ac:dyDescent="0.2">
      <c r="A998" s="1" t="s">
        <v>1988</v>
      </c>
      <c r="B998" s="1" t="s">
        <v>1989</v>
      </c>
      <c r="C998" s="5" t="str">
        <f ca="1">IFERROR(__xludf.DUMMYFUNCTION("REGEXEXTRACT($B998, $E$2)"),"sarahlawrence")</f>
        <v>sarahlawrence</v>
      </c>
      <c r="E998" s="4"/>
      <c r="F998" s="4"/>
      <c r="G998" s="4"/>
      <c r="H998" s="4"/>
      <c r="I998" s="4"/>
      <c r="J998" s="4"/>
      <c r="K998" s="4"/>
      <c r="L998" s="4"/>
      <c r="M998" s="4"/>
      <c r="N998" s="4"/>
      <c r="O998" s="4"/>
      <c r="P998" s="4"/>
      <c r="Q998" s="4"/>
      <c r="R998" s="4"/>
      <c r="S998" s="4"/>
      <c r="T998" s="4"/>
      <c r="U998" s="4"/>
      <c r="V998" s="4"/>
      <c r="W998" s="4"/>
      <c r="X998" s="4"/>
      <c r="Y998" s="4"/>
      <c r="Z998" s="4"/>
    </row>
    <row r="999" spans="1:26" ht="15.75" customHeight="1" x14ac:dyDescent="0.2">
      <c r="A999" s="1" t="s">
        <v>1990</v>
      </c>
      <c r="B999" s="1" t="s">
        <v>1991</v>
      </c>
      <c r="C999" s="5" t="str">
        <f ca="1">IFERROR(__xludf.DUMMYFUNCTION("REGEXEXTRACT($B999, $E$2)"),"scad")</f>
        <v>scad</v>
      </c>
      <c r="E999" s="4"/>
      <c r="F999" s="4"/>
      <c r="G999" s="4"/>
      <c r="H999" s="4"/>
      <c r="I999" s="4"/>
      <c r="J999" s="4"/>
      <c r="K999" s="4"/>
      <c r="L999" s="4"/>
      <c r="M999" s="4"/>
      <c r="N999" s="4"/>
      <c r="O999" s="4"/>
      <c r="P999" s="4"/>
      <c r="Q999" s="4"/>
      <c r="R999" s="4"/>
      <c r="S999" s="4"/>
      <c r="T999" s="4"/>
      <c r="U999" s="4"/>
      <c r="V999" s="4"/>
      <c r="W999" s="4"/>
      <c r="X999" s="4"/>
      <c r="Y999" s="4"/>
      <c r="Z999" s="4"/>
    </row>
    <row r="1000" spans="1:26" ht="15.75" customHeight="1" x14ac:dyDescent="0.2">
      <c r="A1000" s="1" t="s">
        <v>1992</v>
      </c>
      <c r="B1000" s="1" t="s">
        <v>1993</v>
      </c>
      <c r="C1000" s="5" t="str">
        <f ca="1">IFERROR(__xludf.DUMMYFUNCTION("REGEXEXTRACT($B1000, $E$2)"),"savannahstate")</f>
        <v>savannahstate</v>
      </c>
      <c r="E1000" s="4"/>
      <c r="F1000" s="4"/>
      <c r="G1000" s="4"/>
      <c r="H1000" s="4"/>
      <c r="I1000" s="4"/>
      <c r="J1000" s="4"/>
      <c r="K1000" s="4"/>
      <c r="L1000" s="4"/>
      <c r="M1000" s="4"/>
      <c r="N1000" s="4"/>
      <c r="O1000" s="4"/>
      <c r="P1000" s="4"/>
      <c r="Q1000" s="4"/>
      <c r="R1000" s="4"/>
      <c r="S1000" s="4"/>
      <c r="T1000" s="4"/>
      <c r="U1000" s="4"/>
      <c r="V1000" s="4"/>
      <c r="W1000" s="4"/>
      <c r="X1000" s="4"/>
      <c r="Y1000" s="4"/>
      <c r="Z1000" s="4"/>
    </row>
    <row r="1001" spans="1:26" ht="15.75" customHeight="1" x14ac:dyDescent="0.2">
      <c r="A1001" s="1" t="s">
        <v>1994</v>
      </c>
      <c r="B1001" s="1" t="s">
        <v>1995</v>
      </c>
      <c r="C1001" s="5" t="str">
        <f ca="1">IFERROR(__xludf.DUMMYFUNCTION("REGEXEXTRACT($B1001, $E$2)"),"saic")</f>
        <v>saic</v>
      </c>
      <c r="E1001" s="4"/>
      <c r="F1001" s="4"/>
      <c r="G1001" s="4"/>
      <c r="H1001" s="4"/>
      <c r="I1001" s="4"/>
      <c r="J1001" s="4"/>
      <c r="K1001" s="4"/>
      <c r="L1001" s="4"/>
      <c r="M1001" s="4"/>
      <c r="N1001" s="4"/>
      <c r="O1001" s="4"/>
      <c r="P1001" s="4"/>
      <c r="Q1001" s="4"/>
      <c r="R1001" s="4"/>
      <c r="S1001" s="4"/>
      <c r="T1001" s="4"/>
      <c r="U1001" s="4"/>
      <c r="V1001" s="4"/>
      <c r="W1001" s="4"/>
      <c r="X1001" s="4"/>
      <c r="Y1001" s="4"/>
      <c r="Z1001" s="4"/>
    </row>
    <row r="1002" spans="1:26" ht="15.75" customHeight="1" x14ac:dyDescent="0.2">
      <c r="A1002" s="1" t="s">
        <v>1996</v>
      </c>
      <c r="B1002" s="1" t="s">
        <v>1997</v>
      </c>
      <c r="C1002" s="5" t="str">
        <f ca="1">IFERROR(__xludf.DUMMYFUNCTION("REGEXEXTRACT($B1002, $E$2)"),"tufts")</f>
        <v>tufts</v>
      </c>
      <c r="E1002" s="4"/>
      <c r="F1002" s="4"/>
      <c r="G1002" s="4"/>
      <c r="H1002" s="4"/>
      <c r="I1002" s="4"/>
      <c r="J1002" s="4"/>
      <c r="K1002" s="4"/>
      <c r="L1002" s="4"/>
      <c r="M1002" s="4"/>
      <c r="N1002" s="4"/>
      <c r="O1002" s="4"/>
      <c r="P1002" s="4"/>
      <c r="Q1002" s="4"/>
      <c r="R1002" s="4"/>
      <c r="S1002" s="4"/>
      <c r="T1002" s="4"/>
      <c r="U1002" s="4"/>
      <c r="V1002" s="4"/>
      <c r="W1002" s="4"/>
      <c r="X1002" s="4"/>
      <c r="Y1002" s="4"/>
      <c r="Z1002" s="4"/>
    </row>
    <row r="1003" spans="1:26" ht="15.75" customHeight="1" x14ac:dyDescent="0.2">
      <c r="A1003" s="1" t="s">
        <v>1998</v>
      </c>
      <c r="B1003" s="1" t="s">
        <v>1999</v>
      </c>
      <c r="C1003" s="5" t="str">
        <f ca="1">IFERROR(__xludf.DUMMYFUNCTION("REGEXEXTRACT($B1003, $E$2)"),"sva")</f>
        <v>sva</v>
      </c>
      <c r="E1003" s="4"/>
      <c r="F1003" s="4"/>
      <c r="G1003" s="4"/>
      <c r="H1003" s="4"/>
      <c r="I1003" s="4"/>
      <c r="J1003" s="4"/>
      <c r="K1003" s="4"/>
      <c r="L1003" s="4"/>
      <c r="M1003" s="4"/>
      <c r="N1003" s="4"/>
      <c r="O1003" s="4"/>
      <c r="P1003" s="4"/>
      <c r="Q1003" s="4"/>
      <c r="R1003" s="4"/>
      <c r="S1003" s="4"/>
      <c r="T1003" s="4"/>
      <c r="U1003" s="4"/>
      <c r="V1003" s="4"/>
      <c r="W1003" s="4"/>
      <c r="X1003" s="4"/>
      <c r="Y1003" s="4"/>
      <c r="Z1003" s="4"/>
    </row>
    <row r="1004" spans="1:26" ht="15.75" customHeight="1" x14ac:dyDescent="0.2">
      <c r="A1004" s="1" t="s">
        <v>2000</v>
      </c>
      <c r="B1004" s="1" t="s">
        <v>2001</v>
      </c>
      <c r="C1004" s="5" t="str">
        <f ca="1">IFERROR(__xludf.DUMMYFUNCTION("REGEXEXTRACT($B1004, $E$2)"),"schreiner")</f>
        <v>schreiner</v>
      </c>
      <c r="E1004" s="4"/>
      <c r="F1004" s="4"/>
      <c r="G1004" s="4"/>
      <c r="H1004" s="4"/>
      <c r="I1004" s="4"/>
      <c r="J1004" s="4"/>
      <c r="K1004" s="4"/>
      <c r="L1004" s="4"/>
      <c r="M1004" s="4"/>
      <c r="N1004" s="4"/>
      <c r="O1004" s="4"/>
      <c r="P1004" s="4"/>
      <c r="Q1004" s="4"/>
      <c r="R1004" s="4"/>
      <c r="S1004" s="4"/>
      <c r="T1004" s="4"/>
      <c r="U1004" s="4"/>
      <c r="V1004" s="4"/>
      <c r="W1004" s="4"/>
      <c r="X1004" s="4"/>
      <c r="Y1004" s="4"/>
      <c r="Z1004" s="4"/>
    </row>
    <row r="1005" spans="1:26" ht="15.75" customHeight="1" x14ac:dyDescent="0.2">
      <c r="A1005" s="1" t="s">
        <v>2002</v>
      </c>
      <c r="B1005" s="1" t="s">
        <v>2003</v>
      </c>
      <c r="C1005" s="5" t="str">
        <f ca="1">IFERROR(__xludf.DUMMYFUNCTION("REGEXEXTRACT($B1005, $E$2)"),"scrippscollege")</f>
        <v>scrippscollege</v>
      </c>
      <c r="E1005" s="4"/>
      <c r="F1005" s="4"/>
      <c r="G1005" s="4"/>
      <c r="H1005" s="4"/>
      <c r="I1005" s="4"/>
      <c r="J1005" s="4"/>
      <c r="K1005" s="4"/>
      <c r="L1005" s="4"/>
      <c r="M1005" s="4"/>
      <c r="N1005" s="4"/>
      <c r="O1005" s="4"/>
      <c r="P1005" s="4"/>
      <c r="Q1005" s="4"/>
      <c r="R1005" s="4"/>
      <c r="S1005" s="4"/>
      <c r="T1005" s="4"/>
      <c r="U1005" s="4"/>
      <c r="V1005" s="4"/>
      <c r="W1005" s="4"/>
      <c r="X1005" s="4"/>
      <c r="Y1005" s="4"/>
      <c r="Z1005" s="4"/>
    </row>
    <row r="1006" spans="1:26" ht="15.75" customHeight="1" x14ac:dyDescent="0.2">
      <c r="A1006" s="1" t="s">
        <v>2004</v>
      </c>
      <c r="B1006" s="1" t="s">
        <v>2005</v>
      </c>
      <c r="C1006" s="5" t="str">
        <f ca="1">IFERROR(__xludf.DUMMYFUNCTION("REGEXEXTRACT($B1006, $E$2)"),"spu")</f>
        <v>spu</v>
      </c>
      <c r="E1006" s="4"/>
      <c r="F1006" s="4"/>
      <c r="G1006" s="4"/>
      <c r="H1006" s="4"/>
      <c r="I1006" s="4"/>
      <c r="J1006" s="4"/>
      <c r="K1006" s="4"/>
      <c r="L1006" s="4"/>
      <c r="M1006" s="4"/>
      <c r="N1006" s="4"/>
      <c r="O1006" s="4"/>
      <c r="P1006" s="4"/>
      <c r="Q1006" s="4"/>
      <c r="R1006" s="4"/>
      <c r="S1006" s="4"/>
      <c r="T1006" s="4"/>
      <c r="U1006" s="4"/>
      <c r="V1006" s="4"/>
      <c r="W1006" s="4"/>
      <c r="X1006" s="4"/>
      <c r="Y1006" s="4"/>
      <c r="Z1006" s="4"/>
    </row>
    <row r="1007" spans="1:26" ht="15.75" customHeight="1" x14ac:dyDescent="0.2">
      <c r="A1007" s="1" t="s">
        <v>2006</v>
      </c>
      <c r="B1007" s="1" t="s">
        <v>2007</v>
      </c>
      <c r="C1007" s="5" t="str">
        <f ca="1">IFERROR(__xludf.DUMMYFUNCTION("REGEXEXTRACT($B1007, $E$2)"),"seattleu")</f>
        <v>seattleu</v>
      </c>
      <c r="E1007" s="4"/>
      <c r="F1007" s="4"/>
      <c r="G1007" s="4"/>
      <c r="H1007" s="4"/>
      <c r="I1007" s="4"/>
      <c r="J1007" s="4"/>
      <c r="K1007" s="4"/>
      <c r="L1007" s="4"/>
      <c r="M1007" s="4"/>
      <c r="N1007" s="4"/>
      <c r="O1007" s="4"/>
      <c r="P1007" s="4"/>
      <c r="Q1007" s="4"/>
      <c r="R1007" s="4"/>
      <c r="S1007" s="4"/>
      <c r="T1007" s="4"/>
      <c r="U1007" s="4"/>
      <c r="V1007" s="4"/>
      <c r="W1007" s="4"/>
      <c r="X1007" s="4"/>
      <c r="Y1007" s="4"/>
      <c r="Z1007" s="4"/>
    </row>
    <row r="1008" spans="1:26" ht="15.75" customHeight="1" x14ac:dyDescent="0.2">
      <c r="A1008" s="1" t="s">
        <v>2008</v>
      </c>
      <c r="B1008" s="1" t="s">
        <v>2009</v>
      </c>
      <c r="C1008" s="5" t="str">
        <f ca="1">IFERROR(__xludf.DUMMYFUNCTION("REGEXEXTRACT($B1008, $E$2)"),"shu")</f>
        <v>shu</v>
      </c>
      <c r="E1008" s="4"/>
      <c r="F1008" s="4"/>
      <c r="G1008" s="4"/>
      <c r="H1008" s="4"/>
      <c r="I1008" s="4"/>
      <c r="J1008" s="4"/>
      <c r="K1008" s="4"/>
      <c r="L1008" s="4"/>
      <c r="M1008" s="4"/>
      <c r="N1008" s="4"/>
      <c r="O1008" s="4"/>
      <c r="P1008" s="4"/>
      <c r="Q1008" s="4"/>
      <c r="R1008" s="4"/>
      <c r="S1008" s="4"/>
      <c r="T1008" s="4"/>
      <c r="U1008" s="4"/>
      <c r="V1008" s="4"/>
      <c r="W1008" s="4"/>
      <c r="X1008" s="4"/>
      <c r="Y1008" s="4"/>
      <c r="Z1008" s="4"/>
    </row>
    <row r="1009" spans="1:26" ht="15.75" customHeight="1" x14ac:dyDescent="0.2">
      <c r="A1009" s="1" t="s">
        <v>2010</v>
      </c>
      <c r="B1009" s="1" t="s">
        <v>2011</v>
      </c>
      <c r="C1009" s="5" t="str">
        <f ca="1">IFERROR(__xludf.DUMMYFUNCTION("REGEXEXTRACT($B1009, $E$2)"),"setonhill")</f>
        <v>setonhill</v>
      </c>
      <c r="E1009" s="4"/>
      <c r="F1009" s="4"/>
      <c r="G1009" s="4"/>
      <c r="H1009" s="4"/>
      <c r="I1009" s="4"/>
      <c r="J1009" s="4"/>
      <c r="K1009" s="4"/>
      <c r="L1009" s="4"/>
      <c r="M1009" s="4"/>
      <c r="N1009" s="4"/>
      <c r="O1009" s="4"/>
      <c r="P1009" s="4"/>
      <c r="Q1009" s="4"/>
      <c r="R1009" s="4"/>
      <c r="S1009" s="4"/>
      <c r="T1009" s="4"/>
      <c r="U1009" s="4"/>
      <c r="V1009" s="4"/>
      <c r="W1009" s="4"/>
      <c r="X1009" s="4"/>
      <c r="Y1009" s="4"/>
      <c r="Z1009" s="4"/>
    </row>
    <row r="1010" spans="1:26" ht="15.75" customHeight="1" x14ac:dyDescent="0.2">
      <c r="A1010" s="1" t="s">
        <v>2012</v>
      </c>
      <c r="B1010" s="1" t="s">
        <v>2013</v>
      </c>
      <c r="C1010" s="5" t="str">
        <f ca="1">IFERROR(__xludf.DUMMYFUNCTION("REGEXEXTRACT($B1010, $E$2)"),"sewanee")</f>
        <v>sewanee</v>
      </c>
      <c r="E1010" s="4"/>
      <c r="F1010" s="4"/>
      <c r="G1010" s="4"/>
      <c r="H1010" s="4"/>
      <c r="I1010" s="4"/>
      <c r="J1010" s="4"/>
      <c r="K1010" s="4"/>
      <c r="L1010" s="4"/>
      <c r="M1010" s="4"/>
      <c r="N1010" s="4"/>
      <c r="O1010" s="4"/>
      <c r="P1010" s="4"/>
      <c r="Q1010" s="4"/>
      <c r="R1010" s="4"/>
      <c r="S1010" s="4"/>
      <c r="T1010" s="4"/>
      <c r="U1010" s="4"/>
      <c r="V1010" s="4"/>
      <c r="W1010" s="4"/>
      <c r="X1010" s="4"/>
      <c r="Y1010" s="4"/>
      <c r="Z1010" s="4"/>
    </row>
    <row r="1011" spans="1:26" ht="15.75" customHeight="1" x14ac:dyDescent="0.2">
      <c r="A1011" s="1" t="s">
        <v>2014</v>
      </c>
      <c r="B1011" s="1" t="s">
        <v>2015</v>
      </c>
      <c r="C1011" s="5" t="str">
        <f ca="1">IFERROR(__xludf.DUMMYFUNCTION("REGEXEXTRACT($B1011, $E$2)"),"shasta")</f>
        <v>shasta</v>
      </c>
      <c r="E1011" s="4"/>
      <c r="F1011" s="4"/>
      <c r="G1011" s="4"/>
      <c r="H1011" s="4"/>
      <c r="I1011" s="4"/>
      <c r="J1011" s="4"/>
      <c r="K1011" s="4"/>
      <c r="L1011" s="4"/>
      <c r="M1011" s="4"/>
      <c r="N1011" s="4"/>
      <c r="O1011" s="4"/>
      <c r="P1011" s="4"/>
      <c r="Q1011" s="4"/>
      <c r="R1011" s="4"/>
      <c r="S1011" s="4"/>
      <c r="T1011" s="4"/>
      <c r="U1011" s="4"/>
      <c r="V1011" s="4"/>
      <c r="W1011" s="4"/>
      <c r="X1011" s="4"/>
      <c r="Y1011" s="4"/>
      <c r="Z1011" s="4"/>
    </row>
    <row r="1012" spans="1:26" ht="15.75" customHeight="1" x14ac:dyDescent="0.2">
      <c r="A1012" s="1" t="s">
        <v>2016</v>
      </c>
      <c r="B1012" s="1" t="s">
        <v>2017</v>
      </c>
      <c r="C1012" s="5" t="str">
        <f ca="1">IFERROR(__xludf.DUMMYFUNCTION("REGEXEXTRACT($B1012, $E$2)"),"shawu")</f>
        <v>shawu</v>
      </c>
      <c r="E1012" s="4"/>
      <c r="F1012" s="4"/>
      <c r="G1012" s="4"/>
      <c r="H1012" s="4"/>
      <c r="I1012" s="4"/>
      <c r="J1012" s="4"/>
      <c r="K1012" s="4"/>
      <c r="L1012" s="4"/>
      <c r="M1012" s="4"/>
      <c r="N1012" s="4"/>
      <c r="O1012" s="4"/>
      <c r="P1012" s="4"/>
      <c r="Q1012" s="4"/>
      <c r="R1012" s="4"/>
      <c r="S1012" s="4"/>
      <c r="T1012" s="4"/>
      <c r="U1012" s="4"/>
      <c r="V1012" s="4"/>
      <c r="W1012" s="4"/>
      <c r="X1012" s="4"/>
      <c r="Y1012" s="4"/>
      <c r="Z1012" s="4"/>
    </row>
    <row r="1013" spans="1:26" ht="15.75" customHeight="1" x14ac:dyDescent="0.2">
      <c r="A1013" s="1" t="s">
        <v>2018</v>
      </c>
      <c r="B1013" s="1" t="s">
        <v>2019</v>
      </c>
      <c r="C1013" s="5" t="str">
        <f ca="1">IFERROR(__xludf.DUMMYFUNCTION("REGEXEXTRACT($B1013, $E$2)"),"shawnee")</f>
        <v>shawnee</v>
      </c>
      <c r="E1013" s="4"/>
      <c r="F1013" s="4"/>
      <c r="G1013" s="4"/>
      <c r="H1013" s="4"/>
      <c r="I1013" s="4"/>
      <c r="J1013" s="4"/>
      <c r="K1013" s="4"/>
      <c r="L1013" s="4"/>
      <c r="M1013" s="4"/>
      <c r="N1013" s="4"/>
      <c r="O1013" s="4"/>
      <c r="P1013" s="4"/>
      <c r="Q1013" s="4"/>
      <c r="R1013" s="4"/>
      <c r="S1013" s="4"/>
      <c r="T1013" s="4"/>
      <c r="U1013" s="4"/>
      <c r="V1013" s="4"/>
      <c r="W1013" s="4"/>
      <c r="X1013" s="4"/>
      <c r="Y1013" s="4"/>
      <c r="Z1013" s="4"/>
    </row>
    <row r="1014" spans="1:26" ht="15.75" customHeight="1" x14ac:dyDescent="0.2">
      <c r="A1014" s="1" t="s">
        <v>2020</v>
      </c>
      <c r="B1014" s="1" t="s">
        <v>2021</v>
      </c>
      <c r="C1014" s="5" t="str">
        <f ca="1">IFERROR(__xludf.DUMMYFUNCTION("REGEXEXTRACT($B1014, $E$2)"),"su")</f>
        <v>su</v>
      </c>
      <c r="E1014" s="4"/>
      <c r="F1014" s="4"/>
      <c r="G1014" s="4"/>
      <c r="H1014" s="4"/>
      <c r="I1014" s="4"/>
      <c r="J1014" s="4"/>
      <c r="K1014" s="4"/>
      <c r="L1014" s="4"/>
      <c r="M1014" s="4"/>
      <c r="N1014" s="4"/>
      <c r="O1014" s="4"/>
      <c r="P1014" s="4"/>
      <c r="Q1014" s="4"/>
      <c r="R1014" s="4"/>
      <c r="S1014" s="4"/>
      <c r="T1014" s="4"/>
      <c r="U1014" s="4"/>
      <c r="V1014" s="4"/>
      <c r="W1014" s="4"/>
      <c r="X1014" s="4"/>
      <c r="Y1014" s="4"/>
      <c r="Z1014" s="4"/>
    </row>
    <row r="1015" spans="1:26" ht="15.75" customHeight="1" x14ac:dyDescent="0.2">
      <c r="A1015" s="1" t="s">
        <v>2022</v>
      </c>
      <c r="B1015" s="1" t="s">
        <v>2023</v>
      </c>
      <c r="C1015" s="5" t="str">
        <f ca="1">IFERROR(__xludf.DUMMYFUNCTION("REGEXEXTRACT($B1015, $E$2)"),"shepherd")</f>
        <v>shepherd</v>
      </c>
      <c r="E1015" s="4"/>
      <c r="F1015" s="4"/>
      <c r="G1015" s="4"/>
      <c r="H1015" s="4"/>
      <c r="I1015" s="4"/>
      <c r="J1015" s="4"/>
      <c r="K1015" s="4"/>
      <c r="L1015" s="4"/>
      <c r="M1015" s="4"/>
      <c r="N1015" s="4"/>
      <c r="O1015" s="4"/>
      <c r="P1015" s="4"/>
      <c r="Q1015" s="4"/>
      <c r="R1015" s="4"/>
      <c r="S1015" s="4"/>
      <c r="T1015" s="4"/>
      <c r="U1015" s="4"/>
      <c r="V1015" s="4"/>
      <c r="W1015" s="4"/>
      <c r="X1015" s="4"/>
      <c r="Y1015" s="4"/>
      <c r="Z1015" s="4"/>
    </row>
    <row r="1016" spans="1:26" ht="15.75" customHeight="1" x14ac:dyDescent="0.2">
      <c r="A1016" s="1" t="s">
        <v>2024</v>
      </c>
      <c r="B1016" s="1" t="s">
        <v>2025</v>
      </c>
      <c r="C1016" s="5" t="str">
        <f ca="1">IFERROR(__xludf.DUMMYFUNCTION("REGEXEXTRACT($B1016, $E$2)"),"ship")</f>
        <v>ship</v>
      </c>
      <c r="E1016" s="4"/>
      <c r="F1016" s="4"/>
      <c r="G1016" s="4"/>
      <c r="H1016" s="4"/>
      <c r="I1016" s="4"/>
      <c r="J1016" s="4"/>
      <c r="K1016" s="4"/>
      <c r="L1016" s="4"/>
      <c r="M1016" s="4"/>
      <c r="N1016" s="4"/>
      <c r="O1016" s="4"/>
      <c r="P1016" s="4"/>
      <c r="Q1016" s="4"/>
      <c r="R1016" s="4"/>
      <c r="S1016" s="4"/>
      <c r="T1016" s="4"/>
      <c r="U1016" s="4"/>
      <c r="V1016" s="4"/>
      <c r="W1016" s="4"/>
      <c r="X1016" s="4"/>
      <c r="Y1016" s="4"/>
      <c r="Z1016" s="4"/>
    </row>
    <row r="1017" spans="1:26" ht="15.75" customHeight="1" x14ac:dyDescent="0.2">
      <c r="A1017" s="1" t="s">
        <v>2026</v>
      </c>
      <c r="B1017" s="1" t="s">
        <v>2027</v>
      </c>
      <c r="C1017" s="5" t="str">
        <f ca="1">IFERROR(__xludf.DUMMYFUNCTION("REGEXEXTRACT($B1017, $E$2)"),"shorter")</f>
        <v>shorter</v>
      </c>
      <c r="E1017" s="4"/>
      <c r="F1017" s="4"/>
      <c r="G1017" s="4"/>
      <c r="H1017" s="4"/>
      <c r="I1017" s="4"/>
      <c r="J1017" s="4"/>
      <c r="K1017" s="4"/>
      <c r="L1017" s="4"/>
      <c r="M1017" s="4"/>
      <c r="N1017" s="4"/>
      <c r="O1017" s="4"/>
      <c r="P1017" s="4"/>
      <c r="Q1017" s="4"/>
      <c r="R1017" s="4"/>
      <c r="S1017" s="4"/>
      <c r="T1017" s="4"/>
      <c r="U1017" s="4"/>
      <c r="V1017" s="4"/>
      <c r="W1017" s="4"/>
      <c r="X1017" s="4"/>
      <c r="Y1017" s="4"/>
      <c r="Z1017" s="4"/>
    </row>
    <row r="1018" spans="1:26" ht="15.75" customHeight="1" x14ac:dyDescent="0.2">
      <c r="A1018" s="1" t="s">
        <v>2028</v>
      </c>
      <c r="B1018" s="1" t="s">
        <v>2029</v>
      </c>
      <c r="C1018" s="5" t="str">
        <f ca="1">IFERROR(__xludf.DUMMYFUNCTION("REGEXEXTRACT($B1018, $E$2)"),"siena")</f>
        <v>siena</v>
      </c>
      <c r="E1018" s="4"/>
      <c r="F1018" s="4"/>
      <c r="G1018" s="4"/>
      <c r="H1018" s="4"/>
      <c r="I1018" s="4"/>
      <c r="J1018" s="4"/>
      <c r="K1018" s="4"/>
      <c r="L1018" s="4"/>
      <c r="M1018" s="4"/>
      <c r="N1018" s="4"/>
      <c r="O1018" s="4"/>
      <c r="P1018" s="4"/>
      <c r="Q1018" s="4"/>
      <c r="R1018" s="4"/>
      <c r="S1018" s="4"/>
      <c r="T1018" s="4"/>
      <c r="U1018" s="4"/>
      <c r="V1018" s="4"/>
      <c r="W1018" s="4"/>
      <c r="X1018" s="4"/>
      <c r="Y1018" s="4"/>
      <c r="Z1018" s="4"/>
    </row>
    <row r="1019" spans="1:26" ht="15.75" customHeight="1" x14ac:dyDescent="0.2">
      <c r="A1019" s="1" t="s">
        <v>2030</v>
      </c>
      <c r="B1019" s="1" t="s">
        <v>2031</v>
      </c>
      <c r="C1019" s="5" t="str">
        <f ca="1">IFERROR(__xludf.DUMMYFUNCTION("REGEXEXTRACT($B1019, $E$2)"),"sienaheights")</f>
        <v>sienaheights</v>
      </c>
      <c r="E1019" s="4"/>
      <c r="F1019" s="4"/>
      <c r="G1019" s="4"/>
      <c r="H1019" s="4"/>
      <c r="I1019" s="4"/>
      <c r="J1019" s="4"/>
      <c r="K1019" s="4"/>
      <c r="L1019" s="4"/>
      <c r="M1019" s="4"/>
      <c r="N1019" s="4"/>
      <c r="O1019" s="4"/>
      <c r="P1019" s="4"/>
      <c r="Q1019" s="4"/>
      <c r="R1019" s="4"/>
      <c r="S1019" s="4"/>
      <c r="T1019" s="4"/>
      <c r="U1019" s="4"/>
      <c r="V1019" s="4"/>
      <c r="W1019" s="4"/>
      <c r="X1019" s="4"/>
      <c r="Y1019" s="4"/>
      <c r="Z1019" s="4"/>
    </row>
    <row r="1020" spans="1:26" ht="15.75" customHeight="1" x14ac:dyDescent="0.2">
      <c r="A1020" s="1" t="s">
        <v>2032</v>
      </c>
      <c r="B1020" s="1" t="s">
        <v>2033</v>
      </c>
      <c r="C1020" s="5" t="str">
        <f ca="1">IFERROR(__xludf.DUMMYFUNCTION("REGEXEXTRACT($B1020, $E$2)"),"sierranevada")</f>
        <v>sierranevada</v>
      </c>
      <c r="E1020" s="4"/>
      <c r="F1020" s="4"/>
      <c r="G1020" s="4"/>
      <c r="H1020" s="4"/>
      <c r="I1020" s="4"/>
      <c r="J1020" s="4"/>
      <c r="K1020" s="4"/>
      <c r="L1020" s="4"/>
      <c r="M1020" s="4"/>
      <c r="N1020" s="4"/>
      <c r="O1020" s="4"/>
      <c r="P1020" s="4"/>
      <c r="Q1020" s="4"/>
      <c r="R1020" s="4"/>
      <c r="S1020" s="4"/>
      <c r="T1020" s="4"/>
      <c r="U1020" s="4"/>
      <c r="V1020" s="4"/>
      <c r="W1020" s="4"/>
      <c r="X1020" s="4"/>
      <c r="Y1020" s="4"/>
      <c r="Z1020" s="4"/>
    </row>
    <row r="1021" spans="1:26" ht="15.75" customHeight="1" x14ac:dyDescent="0.2">
      <c r="A1021" s="1" t="s">
        <v>2034</v>
      </c>
      <c r="B1021" s="1" t="s">
        <v>2035</v>
      </c>
      <c r="C1021" s="5" t="str">
        <f ca="1">IFERROR(__xludf.DUMMYFUNCTION("REGEXEXTRACT($B1021, $E$2)"),"sl")</f>
        <v>sl</v>
      </c>
      <c r="E1021" s="4"/>
      <c r="F1021" s="4"/>
      <c r="G1021" s="4"/>
      <c r="H1021" s="4"/>
      <c r="I1021" s="4"/>
      <c r="J1021" s="4"/>
      <c r="K1021" s="4"/>
      <c r="L1021" s="4"/>
      <c r="M1021" s="4"/>
      <c r="N1021" s="4"/>
      <c r="O1021" s="4"/>
      <c r="P1021" s="4"/>
      <c r="Q1021" s="4"/>
      <c r="R1021" s="4"/>
      <c r="S1021" s="4"/>
      <c r="T1021" s="4"/>
      <c r="U1021" s="4"/>
      <c r="V1021" s="4"/>
      <c r="W1021" s="4"/>
      <c r="X1021" s="4"/>
      <c r="Y1021" s="4"/>
      <c r="Z1021" s="4"/>
    </row>
    <row r="1022" spans="1:26" ht="15.75" customHeight="1" x14ac:dyDescent="0.2">
      <c r="A1022" s="1" t="s">
        <v>2036</v>
      </c>
      <c r="B1022" s="1" t="s">
        <v>2037</v>
      </c>
      <c r="C1022" s="5" t="str">
        <f ca="1">IFERROR(__xludf.DUMMYFUNCTION("REGEXEXTRACT($B1022, $E$2)"),"simmons")</f>
        <v>simmons</v>
      </c>
      <c r="E1022" s="4"/>
      <c r="F1022" s="4"/>
      <c r="G1022" s="4"/>
      <c r="H1022" s="4"/>
      <c r="I1022" s="4"/>
      <c r="J1022" s="4"/>
      <c r="K1022" s="4"/>
      <c r="L1022" s="4"/>
      <c r="M1022" s="4"/>
      <c r="N1022" s="4"/>
      <c r="O1022" s="4"/>
      <c r="P1022" s="4"/>
      <c r="Q1022" s="4"/>
      <c r="R1022" s="4"/>
      <c r="S1022" s="4"/>
      <c r="T1022" s="4"/>
      <c r="U1022" s="4"/>
      <c r="V1022" s="4"/>
      <c r="W1022" s="4"/>
      <c r="X1022" s="4"/>
      <c r="Y1022" s="4"/>
      <c r="Z1022" s="4"/>
    </row>
    <row r="1023" spans="1:26" ht="15.75" customHeight="1" x14ac:dyDescent="0.2">
      <c r="A1023" s="1" t="s">
        <v>2038</v>
      </c>
      <c r="B1023" s="1" t="s">
        <v>2039</v>
      </c>
      <c r="C1023" s="5" t="str">
        <f ca="1">IFERROR(__xludf.DUMMYFUNCTION("REGEXEXTRACT($B1023, $E$2)"),"simpson")</f>
        <v>simpson</v>
      </c>
      <c r="E1023" s="4"/>
      <c r="F1023" s="4"/>
      <c r="G1023" s="4"/>
      <c r="H1023" s="4"/>
      <c r="I1023" s="4"/>
      <c r="J1023" s="4"/>
      <c r="K1023" s="4"/>
      <c r="L1023" s="4"/>
      <c r="M1023" s="4"/>
      <c r="N1023" s="4"/>
      <c r="O1023" s="4"/>
      <c r="P1023" s="4"/>
      <c r="Q1023" s="4"/>
      <c r="R1023" s="4"/>
      <c r="S1023" s="4"/>
      <c r="T1023" s="4"/>
      <c r="U1023" s="4"/>
      <c r="V1023" s="4"/>
      <c r="W1023" s="4"/>
      <c r="X1023" s="4"/>
      <c r="Y1023" s="4"/>
      <c r="Z1023" s="4"/>
    </row>
    <row r="1024" spans="1:26" ht="15.75" customHeight="1" x14ac:dyDescent="0.2">
      <c r="A1024" s="1" t="s">
        <v>2040</v>
      </c>
      <c r="B1024" s="1" t="s">
        <v>2041</v>
      </c>
      <c r="C1024" s="5" t="str">
        <f ca="1">IFERROR(__xludf.DUMMYFUNCTION("REGEXEXTRACT($B1024, $E$2)"),"simpsonu")</f>
        <v>simpsonu</v>
      </c>
      <c r="E1024" s="4"/>
      <c r="F1024" s="4"/>
      <c r="G1024" s="4"/>
      <c r="H1024" s="4"/>
      <c r="I1024" s="4"/>
      <c r="J1024" s="4"/>
      <c r="K1024" s="4"/>
      <c r="L1024" s="4"/>
      <c r="M1024" s="4"/>
      <c r="N1024" s="4"/>
      <c r="O1024" s="4"/>
      <c r="P1024" s="4"/>
      <c r="Q1024" s="4"/>
      <c r="R1024" s="4"/>
      <c r="S1024" s="4"/>
      <c r="T1024" s="4"/>
      <c r="U1024" s="4"/>
      <c r="V1024" s="4"/>
      <c r="W1024" s="4"/>
      <c r="X1024" s="4"/>
      <c r="Y1024" s="4"/>
      <c r="Z1024" s="4"/>
    </row>
    <row r="1025" spans="1:26" ht="15.75" customHeight="1" x14ac:dyDescent="0.2">
      <c r="A1025" s="1" t="s">
        <v>2042</v>
      </c>
      <c r="B1025" s="1" t="s">
        <v>2043</v>
      </c>
      <c r="C1025" s="5" t="str">
        <f ca="1">IFERROR(__xludf.DUMMYFUNCTION("REGEXEXTRACT($B1025, $E$2)"),"skidmore")</f>
        <v>skidmore</v>
      </c>
      <c r="E1025" s="4"/>
      <c r="F1025" s="4"/>
      <c r="G1025" s="4"/>
      <c r="H1025" s="4"/>
      <c r="I1025" s="4"/>
      <c r="J1025" s="4"/>
      <c r="K1025" s="4"/>
      <c r="L1025" s="4"/>
      <c r="M1025" s="4"/>
      <c r="N1025" s="4"/>
      <c r="O1025" s="4"/>
      <c r="P1025" s="4"/>
      <c r="Q1025" s="4"/>
      <c r="R1025" s="4"/>
      <c r="S1025" s="4"/>
      <c r="T1025" s="4"/>
      <c r="U1025" s="4"/>
      <c r="V1025" s="4"/>
      <c r="W1025" s="4"/>
      <c r="X1025" s="4"/>
      <c r="Y1025" s="4"/>
      <c r="Z1025" s="4"/>
    </row>
    <row r="1026" spans="1:26" ht="15.75" customHeight="1" x14ac:dyDescent="0.2">
      <c r="A1026" s="1" t="s">
        <v>2044</v>
      </c>
      <c r="B1026" s="1" t="s">
        <v>2045</v>
      </c>
      <c r="C1026" s="5" t="str">
        <f ca="1">IFERROR(__xludf.DUMMYFUNCTION("REGEXEXTRACT($B1026, $E$2)"),"sru")</f>
        <v>sru</v>
      </c>
      <c r="E1026" s="4"/>
      <c r="F1026" s="4"/>
      <c r="G1026" s="4"/>
      <c r="H1026" s="4"/>
      <c r="I1026" s="4"/>
      <c r="J1026" s="4"/>
      <c r="K1026" s="4"/>
      <c r="L1026" s="4"/>
      <c r="M1026" s="4"/>
      <c r="N1026" s="4"/>
      <c r="O1026" s="4"/>
      <c r="P1026" s="4"/>
      <c r="Q1026" s="4"/>
      <c r="R1026" s="4"/>
      <c r="S1026" s="4"/>
      <c r="T1026" s="4"/>
      <c r="U1026" s="4"/>
      <c r="V1026" s="4"/>
      <c r="W1026" s="4"/>
      <c r="X1026" s="4"/>
      <c r="Y1026" s="4"/>
      <c r="Z1026" s="4"/>
    </row>
    <row r="1027" spans="1:26" ht="15.75" customHeight="1" x14ac:dyDescent="0.2">
      <c r="A1027" s="1" t="s">
        <v>2046</v>
      </c>
      <c r="B1027" s="1" t="s">
        <v>2047</v>
      </c>
      <c r="C1027" s="5" t="str">
        <f ca="1">IFERROR(__xludf.DUMMYFUNCTION("REGEXEXTRACT($B1027, $E$2)"),"smith")</f>
        <v>smith</v>
      </c>
      <c r="E1027" s="4"/>
      <c r="F1027" s="4"/>
      <c r="G1027" s="4"/>
      <c r="H1027" s="4"/>
      <c r="I1027" s="4"/>
      <c r="J1027" s="4"/>
      <c r="K1027" s="4"/>
      <c r="L1027" s="4"/>
      <c r="M1027" s="4"/>
      <c r="N1027" s="4"/>
      <c r="O1027" s="4"/>
      <c r="P1027" s="4"/>
      <c r="Q1027" s="4"/>
      <c r="R1027" s="4"/>
      <c r="S1027" s="4"/>
      <c r="T1027" s="4"/>
      <c r="U1027" s="4"/>
      <c r="V1027" s="4"/>
      <c r="W1027" s="4"/>
      <c r="X1027" s="4"/>
      <c r="Y1027" s="4"/>
      <c r="Z1027" s="4"/>
    </row>
    <row r="1028" spans="1:26" ht="15.75" customHeight="1" x14ac:dyDescent="0.2">
      <c r="A1028" s="1" t="s">
        <v>2048</v>
      </c>
      <c r="B1028" s="1" t="s">
        <v>2049</v>
      </c>
      <c r="C1028" s="5" t="str">
        <f ca="1">IFERROR(__xludf.DUMMYFUNCTION("REGEXEXTRACT($B1028, $E$2)"),"soka")</f>
        <v>soka</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ht="15.75" customHeight="1" x14ac:dyDescent="0.2">
      <c r="A1029" s="1" t="s">
        <v>2050</v>
      </c>
      <c r="B1029" s="1" t="s">
        <v>2051</v>
      </c>
      <c r="C1029" s="5" t="str">
        <f ca="1">IFERROR(__xludf.DUMMYFUNCTION("REGEXEXTRACT($B1029, $E$2)"),"sonoma")</f>
        <v>sonoma</v>
      </c>
      <c r="E1029" s="4"/>
      <c r="F1029" s="4"/>
      <c r="G1029" s="4"/>
      <c r="H1029" s="4"/>
      <c r="I1029" s="4"/>
      <c r="J1029" s="4"/>
      <c r="K1029" s="4"/>
      <c r="L1029" s="4"/>
      <c r="M1029" s="4"/>
      <c r="N1029" s="4"/>
      <c r="O1029" s="4"/>
      <c r="P1029" s="4"/>
      <c r="Q1029" s="4"/>
      <c r="R1029" s="4"/>
      <c r="S1029" s="4"/>
      <c r="T1029" s="4"/>
      <c r="U1029" s="4"/>
      <c r="V1029" s="4"/>
      <c r="W1029" s="4"/>
      <c r="X1029" s="4"/>
      <c r="Y1029" s="4"/>
      <c r="Z1029" s="4"/>
    </row>
    <row r="1030" spans="1:26" ht="15.75" customHeight="1" x14ac:dyDescent="0.2">
      <c r="A1030" s="1" t="s">
        <v>2052</v>
      </c>
      <c r="B1030" s="1" t="s">
        <v>2053</v>
      </c>
      <c r="C1030" s="5" t="str">
        <f ca="1">IFERROR(__xludf.DUMMYFUNCTION("REGEXEXTRACT($B1030, $E$2)"),"scsu")</f>
        <v>scsu</v>
      </c>
      <c r="E1030" s="4"/>
      <c r="F1030" s="4"/>
      <c r="G1030" s="4"/>
      <c r="H1030" s="4"/>
      <c r="I1030" s="4"/>
      <c r="J1030" s="4"/>
      <c r="K1030" s="4"/>
      <c r="L1030" s="4"/>
      <c r="M1030" s="4"/>
      <c r="N1030" s="4"/>
      <c r="O1030" s="4"/>
      <c r="P1030" s="4"/>
      <c r="Q1030" s="4"/>
      <c r="R1030" s="4"/>
      <c r="S1030" s="4"/>
      <c r="T1030" s="4"/>
      <c r="U1030" s="4"/>
      <c r="V1030" s="4"/>
      <c r="W1030" s="4"/>
      <c r="X1030" s="4"/>
      <c r="Y1030" s="4"/>
      <c r="Z1030" s="4"/>
    </row>
    <row r="1031" spans="1:26" ht="15.75" customHeight="1" x14ac:dyDescent="0.2">
      <c r="A1031" s="1" t="s">
        <v>2054</v>
      </c>
      <c r="B1031" s="1" t="s">
        <v>2055</v>
      </c>
      <c r="C1031" s="5" t="str">
        <f ca="1">IFERROR(__xludf.DUMMYFUNCTION("REGEXEXTRACT($B1031, $E$2)"),"sdsmt")</f>
        <v>sdsmt</v>
      </c>
      <c r="E1031" s="4"/>
      <c r="F1031" s="4"/>
      <c r="G1031" s="4"/>
      <c r="H1031" s="4"/>
      <c r="I1031" s="4"/>
      <c r="J1031" s="4"/>
      <c r="K1031" s="4"/>
      <c r="L1031" s="4"/>
      <c r="M1031" s="4"/>
      <c r="N1031" s="4"/>
      <c r="O1031" s="4"/>
      <c r="P1031" s="4"/>
      <c r="Q1031" s="4"/>
      <c r="R1031" s="4"/>
      <c r="S1031" s="4"/>
      <c r="T1031" s="4"/>
      <c r="U1031" s="4"/>
      <c r="V1031" s="4"/>
      <c r="W1031" s="4"/>
      <c r="X1031" s="4"/>
      <c r="Y1031" s="4"/>
      <c r="Z1031" s="4"/>
    </row>
    <row r="1032" spans="1:26" ht="15.75" customHeight="1" x14ac:dyDescent="0.2">
      <c r="A1032" s="1" t="s">
        <v>2056</v>
      </c>
      <c r="B1032" s="1" t="s">
        <v>2057</v>
      </c>
      <c r="C1032" s="5" t="str">
        <f ca="1">IFERROR(__xludf.DUMMYFUNCTION("REGEXEXTRACT($B1032, $E$2)"),"sdstate")</f>
        <v>sdstate</v>
      </c>
      <c r="E1032" s="4"/>
      <c r="F1032" s="4"/>
      <c r="G1032" s="4"/>
      <c r="H1032" s="4"/>
      <c r="I1032" s="4"/>
      <c r="J1032" s="4"/>
      <c r="K1032" s="4"/>
      <c r="L1032" s="4"/>
      <c r="M1032" s="4"/>
      <c r="N1032" s="4"/>
      <c r="O1032" s="4"/>
      <c r="P1032" s="4"/>
      <c r="Q1032" s="4"/>
      <c r="R1032" s="4"/>
      <c r="S1032" s="4"/>
      <c r="T1032" s="4"/>
      <c r="U1032" s="4"/>
      <c r="V1032" s="4"/>
      <c r="W1032" s="4"/>
      <c r="X1032" s="4"/>
      <c r="Y1032" s="4"/>
      <c r="Z1032" s="4"/>
    </row>
    <row r="1033" spans="1:26" ht="15.75" customHeight="1" x14ac:dyDescent="0.2">
      <c r="A1033" s="1" t="s">
        <v>2058</v>
      </c>
      <c r="B1033" s="1" t="s">
        <v>2059</v>
      </c>
      <c r="C1033" s="5" t="str">
        <f ca="1">IFERROR(__xludf.DUMMYFUNCTION("REGEXEXTRACT($B1033, $E$2)"),"semo")</f>
        <v>semo</v>
      </c>
      <c r="E1033" s="4"/>
      <c r="F1033" s="4"/>
      <c r="G1033" s="4"/>
      <c r="H1033" s="4"/>
      <c r="I1033" s="4"/>
      <c r="J1033" s="4"/>
      <c r="K1033" s="4"/>
      <c r="L1033" s="4"/>
      <c r="M1033" s="4"/>
      <c r="N1033" s="4"/>
      <c r="O1033" s="4"/>
      <c r="P1033" s="4"/>
      <c r="Q1033" s="4"/>
      <c r="R1033" s="4"/>
      <c r="S1033" s="4"/>
      <c r="T1033" s="4"/>
      <c r="U1033" s="4"/>
      <c r="V1033" s="4"/>
      <c r="W1033" s="4"/>
      <c r="X1033" s="4"/>
      <c r="Y1033" s="4"/>
      <c r="Z1033" s="4"/>
    </row>
    <row r="1034" spans="1:26" ht="15.75" customHeight="1" x14ac:dyDescent="0.2">
      <c r="A1034" s="1" t="s">
        <v>2060</v>
      </c>
      <c r="B1034" s="1" t="s">
        <v>2061</v>
      </c>
      <c r="C1034" s="5" t="str">
        <f ca="1">IFERROR(__xludf.DUMMYFUNCTION("REGEXEXTRACT($B1034, $E$2)"),"sebts")</f>
        <v>sebts</v>
      </c>
      <c r="E1034" s="4"/>
      <c r="F1034" s="4"/>
      <c r="G1034" s="4"/>
      <c r="H1034" s="4"/>
      <c r="I1034" s="4"/>
      <c r="J1034" s="4"/>
      <c r="K1034" s="4"/>
      <c r="L1034" s="4"/>
      <c r="M1034" s="4"/>
      <c r="N1034" s="4"/>
      <c r="O1034" s="4"/>
      <c r="P1034" s="4"/>
      <c r="Q1034" s="4"/>
      <c r="R1034" s="4"/>
      <c r="S1034" s="4"/>
      <c r="T1034" s="4"/>
      <c r="U1034" s="4"/>
      <c r="V1034" s="4"/>
      <c r="W1034" s="4"/>
      <c r="X1034" s="4"/>
      <c r="Y1034" s="4"/>
      <c r="Z1034" s="4"/>
    </row>
    <row r="1035" spans="1:26" ht="15.75" customHeight="1" x14ac:dyDescent="0.2">
      <c r="A1035" s="1" t="s">
        <v>2062</v>
      </c>
      <c r="B1035" s="1" t="s">
        <v>2063</v>
      </c>
      <c r="C1035" s="5" t="str">
        <f ca="1">IFERROR(__xludf.DUMMYFUNCTION("REGEXEXTRACT($B1035, $E$2)"),"southeastern")</f>
        <v>southeastern</v>
      </c>
      <c r="E1035" s="4"/>
      <c r="F1035" s="4"/>
      <c r="G1035" s="4"/>
      <c r="H1035" s="4"/>
      <c r="I1035" s="4"/>
      <c r="J1035" s="4"/>
      <c r="K1035" s="4"/>
      <c r="L1035" s="4"/>
      <c r="M1035" s="4"/>
      <c r="N1035" s="4"/>
      <c r="O1035" s="4"/>
      <c r="P1035" s="4"/>
      <c r="Q1035" s="4"/>
      <c r="R1035" s="4"/>
      <c r="S1035" s="4"/>
      <c r="T1035" s="4"/>
      <c r="U1035" s="4"/>
      <c r="V1035" s="4"/>
      <c r="W1035" s="4"/>
      <c r="X1035" s="4"/>
      <c r="Y1035" s="4"/>
      <c r="Z1035" s="4"/>
    </row>
    <row r="1036" spans="1:26" ht="15.75" customHeight="1" x14ac:dyDescent="0.2">
      <c r="A1036" s="1" t="s">
        <v>2064</v>
      </c>
      <c r="B1036" s="1" t="s">
        <v>2065</v>
      </c>
      <c r="C1036" s="5" t="str">
        <f ca="1">IFERROR(__xludf.DUMMYFUNCTION("REGEXEXTRACT($B1036, $E$2)"),"se")</f>
        <v>se</v>
      </c>
      <c r="E1036" s="4"/>
      <c r="F1036" s="4"/>
      <c r="G1036" s="4"/>
      <c r="H1036" s="4"/>
      <c r="I1036" s="4"/>
      <c r="J1036" s="4"/>
      <c r="K1036" s="4"/>
      <c r="L1036" s="4"/>
      <c r="M1036" s="4"/>
      <c r="N1036" s="4"/>
      <c r="O1036" s="4"/>
      <c r="P1036" s="4"/>
      <c r="Q1036" s="4"/>
      <c r="R1036" s="4"/>
      <c r="S1036" s="4"/>
      <c r="T1036" s="4"/>
      <c r="U1036" s="4"/>
      <c r="V1036" s="4"/>
      <c r="W1036" s="4"/>
      <c r="X1036" s="4"/>
      <c r="Y1036" s="4"/>
      <c r="Z1036" s="4"/>
    </row>
    <row r="1037" spans="1:26" ht="15.75" customHeight="1" x14ac:dyDescent="0.2">
      <c r="A1037" s="1" t="s">
        <v>2066</v>
      </c>
      <c r="B1037" s="1" t="s">
        <v>2067</v>
      </c>
      <c r="C1037" s="5" t="str">
        <f ca="1">IFERROR(__xludf.DUMMYFUNCTION("REGEXEXTRACT($B1037, $E$2)"),"seu")</f>
        <v>seu</v>
      </c>
      <c r="E1037" s="4"/>
      <c r="F1037" s="4"/>
      <c r="G1037" s="4"/>
      <c r="H1037" s="4"/>
      <c r="I1037" s="4"/>
      <c r="J1037" s="4"/>
      <c r="K1037" s="4"/>
      <c r="L1037" s="4"/>
      <c r="M1037" s="4"/>
      <c r="N1037" s="4"/>
      <c r="O1037" s="4"/>
      <c r="P1037" s="4"/>
      <c r="Q1037" s="4"/>
      <c r="R1037" s="4"/>
      <c r="S1037" s="4"/>
      <c r="T1037" s="4"/>
      <c r="U1037" s="4"/>
      <c r="V1037" s="4"/>
      <c r="W1037" s="4"/>
      <c r="X1037" s="4"/>
      <c r="Y1037" s="4"/>
      <c r="Z1037" s="4"/>
    </row>
    <row r="1038" spans="1:26" ht="15.75" customHeight="1" x14ac:dyDescent="0.2">
      <c r="A1038" s="1" t="s">
        <v>2068</v>
      </c>
      <c r="B1038" s="1" t="s">
        <v>2069</v>
      </c>
      <c r="C1038" s="5" t="str">
        <f ca="1">IFERROR(__xludf.DUMMYFUNCTION("REGEXEXTRACT($B1038, $E$2)"),"southern")</f>
        <v>southern</v>
      </c>
      <c r="E1038" s="4"/>
      <c r="F1038" s="4"/>
      <c r="G1038" s="4"/>
      <c r="H1038" s="4"/>
      <c r="I1038" s="4"/>
      <c r="J1038" s="4"/>
      <c r="K1038" s="4"/>
      <c r="L1038" s="4"/>
      <c r="M1038" s="4"/>
      <c r="N1038" s="4"/>
      <c r="O1038" s="4"/>
      <c r="P1038" s="4"/>
      <c r="Q1038" s="4"/>
      <c r="R1038" s="4"/>
      <c r="S1038" s="4"/>
      <c r="T1038" s="4"/>
      <c r="U1038" s="4"/>
      <c r="V1038" s="4"/>
      <c r="W1038" s="4"/>
      <c r="X1038" s="4"/>
      <c r="Y1038" s="4"/>
      <c r="Z1038" s="4"/>
    </row>
    <row r="1039" spans="1:26" ht="15.75" customHeight="1" x14ac:dyDescent="0.2">
      <c r="A1039" s="1" t="s">
        <v>2070</v>
      </c>
      <c r="B1039" s="1" t="s">
        <v>2071</v>
      </c>
      <c r="C1039" s="5" t="str">
        <f ca="1">IFERROR(__xludf.DUMMYFUNCTION("REGEXEXTRACT($B1039, $E$2)"),"saumag")</f>
        <v>saumag</v>
      </c>
      <c r="E1039" s="4"/>
      <c r="F1039" s="4"/>
      <c r="G1039" s="4"/>
      <c r="H1039" s="4"/>
      <c r="I1039" s="4"/>
      <c r="J1039" s="4"/>
      <c r="K1039" s="4"/>
      <c r="L1039" s="4"/>
      <c r="M1039" s="4"/>
      <c r="N1039" s="4"/>
      <c r="O1039" s="4"/>
      <c r="P1039" s="4"/>
      <c r="Q1039" s="4"/>
      <c r="R1039" s="4"/>
      <c r="S1039" s="4"/>
      <c r="T1039" s="4"/>
      <c r="U1039" s="4"/>
      <c r="V1039" s="4"/>
      <c r="W1039" s="4"/>
      <c r="X1039" s="4"/>
      <c r="Y1039" s="4"/>
      <c r="Z1039" s="4"/>
    </row>
    <row r="1040" spans="1:26" ht="15.75" customHeight="1" x14ac:dyDescent="0.2">
      <c r="A1040" s="1" t="s">
        <v>2072</v>
      </c>
      <c r="B1040" s="1" t="s">
        <v>2073</v>
      </c>
      <c r="C1040" s="5" t="str">
        <f ca="1">IFERROR(__xludf.DUMMYFUNCTION("REGEXEXTRACT($B1040, $E$2)"),"sciarc")</f>
        <v>sciarc</v>
      </c>
      <c r="E1040" s="4"/>
      <c r="F1040" s="4"/>
      <c r="G1040" s="4"/>
      <c r="H1040" s="4"/>
      <c r="I1040" s="4"/>
      <c r="J1040" s="4"/>
      <c r="K1040" s="4"/>
      <c r="L1040" s="4"/>
      <c r="M1040" s="4"/>
      <c r="N1040" s="4"/>
      <c r="O1040" s="4"/>
      <c r="P1040" s="4"/>
      <c r="Q1040" s="4"/>
      <c r="R1040" s="4"/>
      <c r="S1040" s="4"/>
      <c r="T1040" s="4"/>
      <c r="U1040" s="4"/>
      <c r="V1040" s="4"/>
      <c r="W1040" s="4"/>
      <c r="X1040" s="4"/>
      <c r="Y1040" s="4"/>
      <c r="Z1040" s="4"/>
    </row>
    <row r="1041" spans="1:26" ht="15.75" customHeight="1" x14ac:dyDescent="0.2">
      <c r="A1041" s="1" t="s">
        <v>2074</v>
      </c>
      <c r="B1041" s="1" t="s">
        <v>2075</v>
      </c>
      <c r="C1041" s="5" t="str">
        <f ca="1">IFERROR(__xludf.DUMMYFUNCTION("REGEXEXTRACT($B1041, $E$2)"),"southernct")</f>
        <v>southernct</v>
      </c>
      <c r="E1041" s="4"/>
      <c r="F1041" s="4"/>
      <c r="G1041" s="4"/>
      <c r="H1041" s="4"/>
      <c r="I1041" s="4"/>
      <c r="J1041" s="4"/>
      <c r="K1041" s="4"/>
      <c r="L1041" s="4"/>
      <c r="M1041" s="4"/>
      <c r="N1041" s="4"/>
      <c r="O1041" s="4"/>
      <c r="P1041" s="4"/>
      <c r="Q1041" s="4"/>
      <c r="R1041" s="4"/>
      <c r="S1041" s="4"/>
      <c r="T1041" s="4"/>
      <c r="U1041" s="4"/>
      <c r="V1041" s="4"/>
      <c r="W1041" s="4"/>
      <c r="X1041" s="4"/>
      <c r="Y1041" s="4"/>
      <c r="Z1041" s="4"/>
    </row>
    <row r="1042" spans="1:26" ht="15.75" customHeight="1" x14ac:dyDescent="0.2">
      <c r="A1042" s="1" t="s">
        <v>2076</v>
      </c>
      <c r="B1042" s="1" t="s">
        <v>2077</v>
      </c>
      <c r="C1042" s="5" t="str">
        <f ca="1">IFERROR(__xludf.DUMMYFUNCTION("REGEXEXTRACT($B1042, $E$2)"),"siu")</f>
        <v>siu</v>
      </c>
      <c r="E1042" s="4"/>
      <c r="F1042" s="4"/>
      <c r="G1042" s="4"/>
      <c r="H1042" s="4"/>
      <c r="I1042" s="4"/>
      <c r="J1042" s="4"/>
      <c r="K1042" s="4"/>
      <c r="L1042" s="4"/>
      <c r="M1042" s="4"/>
      <c r="N1042" s="4"/>
      <c r="O1042" s="4"/>
      <c r="P1042" s="4"/>
      <c r="Q1042" s="4"/>
      <c r="R1042" s="4"/>
      <c r="S1042" s="4"/>
      <c r="T1042" s="4"/>
      <c r="U1042" s="4"/>
      <c r="V1042" s="4"/>
      <c r="W1042" s="4"/>
      <c r="X1042" s="4"/>
      <c r="Y1042" s="4"/>
      <c r="Z1042" s="4"/>
    </row>
    <row r="1043" spans="1:26" ht="15.75" customHeight="1" x14ac:dyDescent="0.2">
      <c r="A1043" s="1" t="s">
        <v>2078</v>
      </c>
      <c r="B1043" s="1" t="s">
        <v>2079</v>
      </c>
      <c r="C1043" s="5" t="str">
        <f ca="1">IFERROR(__xludf.DUMMYFUNCTION("REGEXEXTRACT($B1043, $E$2)"),"siue")</f>
        <v>siue</v>
      </c>
      <c r="E1043" s="4"/>
      <c r="F1043" s="4"/>
      <c r="G1043" s="4"/>
      <c r="H1043" s="4"/>
      <c r="I1043" s="4"/>
      <c r="J1043" s="4"/>
      <c r="K1043" s="4"/>
      <c r="L1043" s="4"/>
      <c r="M1043" s="4"/>
      <c r="N1043" s="4"/>
      <c r="O1043" s="4"/>
      <c r="P1043" s="4"/>
      <c r="Q1043" s="4"/>
      <c r="R1043" s="4"/>
      <c r="S1043" s="4"/>
      <c r="T1043" s="4"/>
      <c r="U1043" s="4"/>
      <c r="V1043" s="4"/>
      <c r="W1043" s="4"/>
      <c r="X1043" s="4"/>
      <c r="Y1043" s="4"/>
      <c r="Z1043" s="4"/>
    </row>
    <row r="1044" spans="1:26" ht="15.75" customHeight="1" x14ac:dyDescent="0.2">
      <c r="A1044" s="1" t="s">
        <v>2080</v>
      </c>
      <c r="B1044" s="1" t="s">
        <v>2081</v>
      </c>
      <c r="C1044" s="5" t="str">
        <f ca="1">IFERROR(__xludf.DUMMYFUNCTION("REGEXEXTRACT($B1044, $E$2)"),"smu")</f>
        <v>smu</v>
      </c>
      <c r="E1044" s="4"/>
      <c r="F1044" s="4"/>
      <c r="G1044" s="4"/>
      <c r="H1044" s="4"/>
      <c r="I1044" s="4"/>
      <c r="J1044" s="4"/>
      <c r="K1044" s="4"/>
      <c r="L1044" s="4"/>
      <c r="M1044" s="4"/>
      <c r="N1044" s="4"/>
      <c r="O1044" s="4"/>
      <c r="P1044" s="4"/>
      <c r="Q1044" s="4"/>
      <c r="R1044" s="4"/>
      <c r="S1044" s="4"/>
      <c r="T1044" s="4"/>
      <c r="U1044" s="4"/>
      <c r="V1044" s="4"/>
      <c r="W1044" s="4"/>
      <c r="X1044" s="4"/>
      <c r="Y1044" s="4"/>
      <c r="Z1044" s="4"/>
    </row>
    <row r="1045" spans="1:26" ht="15.75" customHeight="1" x14ac:dyDescent="0.2">
      <c r="A1045" s="1" t="s">
        <v>2082</v>
      </c>
      <c r="B1045" s="1" t="s">
        <v>2083</v>
      </c>
      <c r="C1045" s="5" t="str">
        <f ca="1">IFERROR(__xludf.DUMMYFUNCTION("REGEXEXTRACT($B1045, $E$2)"),"snu")</f>
        <v>snu</v>
      </c>
      <c r="E1045" s="4"/>
      <c r="F1045" s="4"/>
      <c r="G1045" s="4"/>
      <c r="H1045" s="4"/>
      <c r="I1045" s="4"/>
      <c r="J1045" s="4"/>
      <c r="K1045" s="4"/>
      <c r="L1045" s="4"/>
      <c r="M1045" s="4"/>
      <c r="N1045" s="4"/>
      <c r="O1045" s="4"/>
      <c r="P1045" s="4"/>
      <c r="Q1045" s="4"/>
      <c r="R1045" s="4"/>
      <c r="S1045" s="4"/>
      <c r="T1045" s="4"/>
      <c r="U1045" s="4"/>
      <c r="V1045" s="4"/>
      <c r="W1045" s="4"/>
      <c r="X1045" s="4"/>
      <c r="Y1045" s="4"/>
      <c r="Z1045" s="4"/>
    </row>
    <row r="1046" spans="1:26" ht="15.75" customHeight="1" x14ac:dyDescent="0.2">
      <c r="A1046" s="1" t="s">
        <v>2084</v>
      </c>
      <c r="B1046" s="1" t="s">
        <v>2085</v>
      </c>
      <c r="C1046" s="5" t="str">
        <f ca="1">IFERROR(__xludf.DUMMYFUNCTION("REGEXEXTRACT($B1046, $E$2)"),"snhu")</f>
        <v>snhu</v>
      </c>
      <c r="E1046" s="4"/>
      <c r="F1046" s="4"/>
      <c r="G1046" s="4"/>
      <c r="H1046" s="4"/>
      <c r="I1046" s="4"/>
      <c r="J1046" s="4"/>
      <c r="K1046" s="4"/>
      <c r="L1046" s="4"/>
      <c r="M1046" s="4"/>
      <c r="N1046" s="4"/>
      <c r="O1046" s="4"/>
      <c r="P1046" s="4"/>
      <c r="Q1046" s="4"/>
      <c r="R1046" s="4"/>
      <c r="S1046" s="4"/>
      <c r="T1046" s="4"/>
      <c r="U1046" s="4"/>
      <c r="V1046" s="4"/>
      <c r="W1046" s="4"/>
      <c r="X1046" s="4"/>
      <c r="Y1046" s="4"/>
      <c r="Z1046" s="4"/>
    </row>
    <row r="1047" spans="1:26" ht="15.75" customHeight="1" x14ac:dyDescent="0.2">
      <c r="A1047" s="1" t="s">
        <v>2086</v>
      </c>
      <c r="B1047" s="1" t="s">
        <v>2087</v>
      </c>
      <c r="C1047" s="5" t="str">
        <f ca="1">IFERROR(__xludf.DUMMYFUNCTION("REGEXEXTRACT($B1047, $E$2)"),"sou")</f>
        <v>sou</v>
      </c>
      <c r="E1047" s="4"/>
      <c r="F1047" s="4"/>
      <c r="G1047" s="4"/>
      <c r="H1047" s="4"/>
      <c r="I1047" s="4"/>
      <c r="J1047" s="4"/>
      <c r="K1047" s="4"/>
      <c r="L1047" s="4"/>
      <c r="M1047" s="4"/>
      <c r="N1047" s="4"/>
      <c r="O1047" s="4"/>
      <c r="P1047" s="4"/>
      <c r="Q1047" s="4"/>
      <c r="R1047" s="4"/>
      <c r="S1047" s="4"/>
      <c r="T1047" s="4"/>
      <c r="U1047" s="4"/>
      <c r="V1047" s="4"/>
      <c r="W1047" s="4"/>
      <c r="X1047" s="4"/>
      <c r="Y1047" s="4"/>
      <c r="Z1047" s="4"/>
    </row>
    <row r="1048" spans="1:26" ht="15.75" customHeight="1" x14ac:dyDescent="0.2">
      <c r="A1048" s="1" t="s">
        <v>2088</v>
      </c>
      <c r="B1048" s="1" t="s">
        <v>2089</v>
      </c>
      <c r="C1048" s="5" t="str">
        <f ca="1">IFERROR(__xludf.DUMMYFUNCTION("REGEXEXTRACT($B1048, $E$2)"),"subr")</f>
        <v>subr</v>
      </c>
      <c r="E1048" s="4"/>
      <c r="F1048" s="4"/>
      <c r="G1048" s="4"/>
      <c r="H1048" s="4"/>
      <c r="I1048" s="4"/>
      <c r="J1048" s="4"/>
      <c r="K1048" s="4"/>
      <c r="L1048" s="4"/>
      <c r="M1048" s="4"/>
      <c r="N1048" s="4"/>
      <c r="O1048" s="4"/>
      <c r="P1048" s="4"/>
      <c r="Q1048" s="4"/>
      <c r="R1048" s="4"/>
      <c r="S1048" s="4"/>
      <c r="T1048" s="4"/>
      <c r="U1048" s="4"/>
      <c r="V1048" s="4"/>
      <c r="W1048" s="4"/>
      <c r="X1048" s="4"/>
      <c r="Y1048" s="4"/>
      <c r="Z1048" s="4"/>
    </row>
    <row r="1049" spans="1:26" ht="15.75" customHeight="1" x14ac:dyDescent="0.2">
      <c r="A1049" s="1" t="s">
        <v>2090</v>
      </c>
      <c r="B1049" s="1" t="s">
        <v>2091</v>
      </c>
      <c r="C1049" s="5" t="str">
        <f ca="1">IFERROR(__xludf.DUMMYFUNCTION("REGEXEXTRACT($B1049, $E$2)"),"suno")</f>
        <v>suno</v>
      </c>
      <c r="E1049" s="4"/>
      <c r="F1049" s="4"/>
      <c r="G1049" s="4"/>
      <c r="H1049" s="4"/>
      <c r="I1049" s="4"/>
      <c r="J1049" s="4"/>
      <c r="K1049" s="4"/>
      <c r="L1049" s="4"/>
      <c r="M1049" s="4"/>
      <c r="N1049" s="4"/>
      <c r="O1049" s="4"/>
      <c r="P1049" s="4"/>
      <c r="Q1049" s="4"/>
      <c r="R1049" s="4"/>
      <c r="S1049" s="4"/>
      <c r="T1049" s="4"/>
      <c r="U1049" s="4"/>
      <c r="V1049" s="4"/>
      <c r="W1049" s="4"/>
      <c r="X1049" s="4"/>
      <c r="Y1049" s="4"/>
      <c r="Z1049" s="4"/>
    </row>
    <row r="1050" spans="1:26" ht="15.75" customHeight="1" x14ac:dyDescent="0.2">
      <c r="A1050" s="1" t="s">
        <v>2092</v>
      </c>
      <c r="B1050" s="1" t="s">
        <v>2093</v>
      </c>
      <c r="C1050" s="5" t="str">
        <f ca="1">IFERROR(__xludf.DUMMYFUNCTION("REGEXEXTRACT($B1050, $E$2)"),"suu")</f>
        <v>suu</v>
      </c>
      <c r="E1050" s="4"/>
      <c r="F1050" s="4"/>
      <c r="G1050" s="4"/>
      <c r="H1050" s="4"/>
      <c r="I1050" s="4"/>
      <c r="J1050" s="4"/>
      <c r="K1050" s="4"/>
      <c r="L1050" s="4"/>
      <c r="M1050" s="4"/>
      <c r="N1050" s="4"/>
      <c r="O1050" s="4"/>
      <c r="P1050" s="4"/>
      <c r="Q1050" s="4"/>
      <c r="R1050" s="4"/>
      <c r="S1050" s="4"/>
      <c r="T1050" s="4"/>
      <c r="U1050" s="4"/>
      <c r="V1050" s="4"/>
      <c r="W1050" s="4"/>
      <c r="X1050" s="4"/>
      <c r="Y1050" s="4"/>
      <c r="Z1050" s="4"/>
    </row>
    <row r="1051" spans="1:26" ht="15.75" customHeight="1" x14ac:dyDescent="0.2">
      <c r="A1051" s="1" t="s">
        <v>2094</v>
      </c>
      <c r="B1051" s="1" t="s">
        <v>2095</v>
      </c>
      <c r="C1051" s="5" t="str">
        <f ca="1">IFERROR(__xludf.DUMMYFUNCTION("REGEXEXTRACT($B1051, $E$2)"),"svc")</f>
        <v>svc</v>
      </c>
      <c r="E1051" s="4"/>
      <c r="F1051" s="4"/>
      <c r="G1051" s="4"/>
      <c r="H1051" s="4"/>
      <c r="I1051" s="4"/>
      <c r="J1051" s="4"/>
      <c r="K1051" s="4"/>
      <c r="L1051" s="4"/>
      <c r="M1051" s="4"/>
      <c r="N1051" s="4"/>
      <c r="O1051" s="4"/>
      <c r="P1051" s="4"/>
      <c r="Q1051" s="4"/>
      <c r="R1051" s="4"/>
      <c r="S1051" s="4"/>
      <c r="T1051" s="4"/>
      <c r="U1051" s="4"/>
      <c r="V1051" s="4"/>
      <c r="W1051" s="4"/>
      <c r="X1051" s="4"/>
      <c r="Y1051" s="4"/>
      <c r="Z1051" s="4"/>
    </row>
    <row r="1052" spans="1:26" ht="15.75" customHeight="1" x14ac:dyDescent="0.2">
      <c r="A1052" s="1" t="s">
        <v>2096</v>
      </c>
      <c r="B1052" s="1" t="s">
        <v>2097</v>
      </c>
      <c r="C1052" s="5" t="str">
        <f ca="1">IFERROR(__xludf.DUMMYFUNCTION("REGEXEXTRACT($B1052, $E$2)"),"svu")</f>
        <v>svu</v>
      </c>
      <c r="E1052" s="4"/>
      <c r="F1052" s="4"/>
      <c r="G1052" s="4"/>
      <c r="H1052" s="4"/>
      <c r="I1052" s="4"/>
      <c r="J1052" s="4"/>
      <c r="K1052" s="4"/>
      <c r="L1052" s="4"/>
      <c r="M1052" s="4"/>
      <c r="N1052" s="4"/>
      <c r="O1052" s="4"/>
      <c r="P1052" s="4"/>
      <c r="Q1052" s="4"/>
      <c r="R1052" s="4"/>
      <c r="S1052" s="4"/>
      <c r="T1052" s="4"/>
      <c r="U1052" s="4"/>
      <c r="V1052" s="4"/>
      <c r="W1052" s="4"/>
      <c r="X1052" s="4"/>
      <c r="Y1052" s="4"/>
      <c r="Z1052" s="4"/>
    </row>
    <row r="1053" spans="1:26" ht="15.75" customHeight="1" x14ac:dyDescent="0.2">
      <c r="A1053" s="1" t="s">
        <v>2098</v>
      </c>
      <c r="B1053" s="1" t="s">
        <v>2099</v>
      </c>
      <c r="C1053" s="5" t="str">
        <f ca="1">IFERROR(__xludf.DUMMYFUNCTION("REGEXEXTRACT($B1053, $E$2)"),"swu")</f>
        <v>swu</v>
      </c>
      <c r="E1053" s="4"/>
      <c r="F1053" s="4"/>
      <c r="G1053" s="4"/>
      <c r="H1053" s="4"/>
      <c r="I1053" s="4"/>
      <c r="J1053" s="4"/>
      <c r="K1053" s="4"/>
      <c r="L1053" s="4"/>
      <c r="M1053" s="4"/>
      <c r="N1053" s="4"/>
      <c r="O1053" s="4"/>
      <c r="P1053" s="4"/>
      <c r="Q1053" s="4"/>
      <c r="R1053" s="4"/>
      <c r="S1053" s="4"/>
      <c r="T1053" s="4"/>
      <c r="U1053" s="4"/>
      <c r="V1053" s="4"/>
      <c r="W1053" s="4"/>
      <c r="X1053" s="4"/>
      <c r="Y1053" s="4"/>
      <c r="Z1053" s="4"/>
    </row>
    <row r="1054" spans="1:26" ht="15.75" customHeight="1" x14ac:dyDescent="0.2">
      <c r="A1054" s="1" t="s">
        <v>2100</v>
      </c>
      <c r="B1054" s="1" t="s">
        <v>2101</v>
      </c>
      <c r="C1054" s="5" t="str">
        <f ca="1">IFERROR(__xludf.DUMMYFUNCTION("REGEXEXTRACT($B1054, $E$2)"),"sbuniv")</f>
        <v>sbuniv</v>
      </c>
      <c r="E1054" s="4"/>
      <c r="F1054" s="4"/>
      <c r="G1054" s="4"/>
      <c r="H1054" s="4"/>
      <c r="I1054" s="4"/>
      <c r="J1054" s="4"/>
      <c r="K1054" s="4"/>
      <c r="L1054" s="4"/>
      <c r="M1054" s="4"/>
      <c r="N1054" s="4"/>
      <c r="O1054" s="4"/>
      <c r="P1054" s="4"/>
      <c r="Q1054" s="4"/>
      <c r="R1054" s="4"/>
      <c r="S1054" s="4"/>
      <c r="T1054" s="4"/>
      <c r="U1054" s="4"/>
      <c r="V1054" s="4"/>
      <c r="W1054" s="4"/>
      <c r="X1054" s="4"/>
      <c r="Y1054" s="4"/>
      <c r="Z1054" s="4"/>
    </row>
    <row r="1055" spans="1:26" ht="15.75" customHeight="1" x14ac:dyDescent="0.2">
      <c r="A1055" s="1" t="s">
        <v>2102</v>
      </c>
      <c r="B1055" s="1" t="s">
        <v>2103</v>
      </c>
      <c r="C1055" s="5" t="str">
        <f ca="1">IFERROR(__xludf.DUMMYFUNCTION("REGEXEXTRACT($B1055, $E$2)"),"smsu")</f>
        <v>smsu</v>
      </c>
      <c r="E1055" s="4"/>
      <c r="F1055" s="4"/>
      <c r="G1055" s="4"/>
      <c r="H1055" s="4"/>
      <c r="I1055" s="4"/>
      <c r="J1055" s="4"/>
      <c r="K1055" s="4"/>
      <c r="L1055" s="4"/>
      <c r="M1055" s="4"/>
      <c r="N1055" s="4"/>
      <c r="O1055" s="4"/>
      <c r="P1055" s="4"/>
      <c r="Q1055" s="4"/>
      <c r="R1055" s="4"/>
      <c r="S1055" s="4"/>
      <c r="T1055" s="4"/>
      <c r="U1055" s="4"/>
      <c r="V1055" s="4"/>
      <c r="W1055" s="4"/>
      <c r="X1055" s="4"/>
      <c r="Y1055" s="4"/>
      <c r="Z1055" s="4"/>
    </row>
    <row r="1056" spans="1:26" ht="15.75" customHeight="1" x14ac:dyDescent="0.2">
      <c r="A1056" s="1" t="s">
        <v>2104</v>
      </c>
      <c r="B1056" s="1" t="s">
        <v>2105</v>
      </c>
      <c r="C1056" s="5" t="str">
        <f ca="1">IFERROR(__xludf.DUMMYFUNCTION("REGEXEXTRACT($B1056, $E$2)"),"suva")</f>
        <v>suva</v>
      </c>
      <c r="E1056" s="4"/>
      <c r="F1056" s="4"/>
      <c r="G1056" s="4"/>
      <c r="H1056" s="4"/>
      <c r="I1056" s="4"/>
      <c r="J1056" s="4"/>
      <c r="K1056" s="4"/>
      <c r="L1056" s="4"/>
      <c r="M1056" s="4"/>
      <c r="N1056" s="4"/>
      <c r="O1056" s="4"/>
      <c r="P1056" s="4"/>
      <c r="Q1056" s="4"/>
      <c r="R1056" s="4"/>
      <c r="S1056" s="4"/>
      <c r="T1056" s="4"/>
      <c r="U1056" s="4"/>
      <c r="V1056" s="4"/>
      <c r="W1056" s="4"/>
      <c r="X1056" s="4"/>
      <c r="Y1056" s="4"/>
      <c r="Z1056" s="4"/>
    </row>
    <row r="1057" spans="1:26" ht="15.75" customHeight="1" x14ac:dyDescent="0.2">
      <c r="A1057" s="1" t="s">
        <v>2106</v>
      </c>
      <c r="B1057" s="1" t="s">
        <v>2107</v>
      </c>
      <c r="C1057" s="5" t="str">
        <f ca="1">IFERROR(__xludf.DUMMYFUNCTION("REGEXEXTRACT($B1057, $E$2)"),"swau")</f>
        <v>swau</v>
      </c>
      <c r="E1057" s="4"/>
      <c r="F1057" s="4"/>
      <c r="G1057" s="4"/>
      <c r="H1057" s="4"/>
      <c r="I1057" s="4"/>
      <c r="J1057" s="4"/>
      <c r="K1057" s="4"/>
      <c r="L1057" s="4"/>
      <c r="M1057" s="4"/>
      <c r="N1057" s="4"/>
      <c r="O1057" s="4"/>
      <c r="P1057" s="4"/>
      <c r="Q1057" s="4"/>
      <c r="R1057" s="4"/>
      <c r="S1057" s="4"/>
      <c r="T1057" s="4"/>
      <c r="U1057" s="4"/>
      <c r="V1057" s="4"/>
      <c r="W1057" s="4"/>
      <c r="X1057" s="4"/>
      <c r="Y1057" s="4"/>
      <c r="Z1057" s="4"/>
    </row>
    <row r="1058" spans="1:26" ht="15.75" customHeight="1" x14ac:dyDescent="0.2">
      <c r="A1058" s="1" t="s">
        <v>2108</v>
      </c>
      <c r="B1058" s="1" t="s">
        <v>2109</v>
      </c>
      <c r="C1058" s="5" t="str">
        <f ca="1">IFERROR(__xludf.DUMMYFUNCTION("REGEXEXTRACT($B1058, $E$2)"),"swcu")</f>
        <v>swcu</v>
      </c>
      <c r="E1058" s="4"/>
      <c r="F1058" s="4"/>
      <c r="G1058" s="4"/>
      <c r="H1058" s="4"/>
      <c r="I1058" s="4"/>
      <c r="J1058" s="4"/>
      <c r="K1058" s="4"/>
      <c r="L1058" s="4"/>
      <c r="M1058" s="4"/>
      <c r="N1058" s="4"/>
      <c r="O1058" s="4"/>
      <c r="P1058" s="4"/>
      <c r="Q1058" s="4"/>
      <c r="R1058" s="4"/>
      <c r="S1058" s="4"/>
      <c r="T1058" s="4"/>
      <c r="U1058" s="4"/>
      <c r="V1058" s="4"/>
      <c r="W1058" s="4"/>
      <c r="X1058" s="4"/>
      <c r="Y1058" s="4"/>
      <c r="Z1058" s="4"/>
    </row>
    <row r="1059" spans="1:26" ht="15.75" customHeight="1" x14ac:dyDescent="0.2">
      <c r="A1059" s="1" t="s">
        <v>2110</v>
      </c>
      <c r="B1059" s="1" t="s">
        <v>2111</v>
      </c>
      <c r="C1059" s="5" t="str">
        <f ca="1">IFERROR(__xludf.DUMMYFUNCTION("REGEXEXTRACT($B1059, $E$2)"),"sckans")</f>
        <v>sckans</v>
      </c>
      <c r="E1059" s="4"/>
      <c r="F1059" s="4"/>
      <c r="G1059" s="4"/>
      <c r="H1059" s="4"/>
      <c r="I1059" s="4"/>
      <c r="J1059" s="4"/>
      <c r="K1059" s="4"/>
      <c r="L1059" s="4"/>
      <c r="M1059" s="4"/>
      <c r="N1059" s="4"/>
      <c r="O1059" s="4"/>
      <c r="P1059" s="4"/>
      <c r="Q1059" s="4"/>
      <c r="R1059" s="4"/>
      <c r="S1059" s="4"/>
      <c r="T1059" s="4"/>
      <c r="U1059" s="4"/>
      <c r="V1059" s="4"/>
      <c r="W1059" s="4"/>
      <c r="X1059" s="4"/>
      <c r="Y1059" s="4"/>
      <c r="Z1059" s="4"/>
    </row>
    <row r="1060" spans="1:26" ht="15.75" customHeight="1" x14ac:dyDescent="0.2">
      <c r="A1060" s="1" t="s">
        <v>2112</v>
      </c>
      <c r="B1060" s="1" t="s">
        <v>2113</v>
      </c>
      <c r="C1060" s="5" t="str">
        <f ca="1">IFERROR(__xludf.DUMMYFUNCTION("REGEXEXTRACT($B1060, $E$2)"),"swosu")</f>
        <v>swosu</v>
      </c>
      <c r="E1060" s="4"/>
      <c r="F1060" s="4"/>
      <c r="G1060" s="4"/>
      <c r="H1060" s="4"/>
      <c r="I1060" s="4"/>
      <c r="J1060" s="4"/>
      <c r="K1060" s="4"/>
      <c r="L1060" s="4"/>
      <c r="M1060" s="4"/>
      <c r="N1060" s="4"/>
      <c r="O1060" s="4"/>
      <c r="P1060" s="4"/>
      <c r="Q1060" s="4"/>
      <c r="R1060" s="4"/>
      <c r="S1060" s="4"/>
      <c r="T1060" s="4"/>
      <c r="U1060" s="4"/>
      <c r="V1060" s="4"/>
      <c r="W1060" s="4"/>
      <c r="X1060" s="4"/>
      <c r="Y1060" s="4"/>
      <c r="Z1060" s="4"/>
    </row>
    <row r="1061" spans="1:26" ht="15.75" customHeight="1" x14ac:dyDescent="0.2">
      <c r="A1061" s="1" t="s">
        <v>2114</v>
      </c>
      <c r="B1061" s="1" t="s">
        <v>2115</v>
      </c>
      <c r="C1061" s="5" t="str">
        <f ca="1">IFERROR(__xludf.DUMMYFUNCTION("REGEXEXTRACT($B1061, $E$2)"),"southwestern")</f>
        <v>southwestern</v>
      </c>
      <c r="E1061" s="4"/>
      <c r="F1061" s="4"/>
      <c r="G1061" s="4"/>
      <c r="H1061" s="4"/>
      <c r="I1061" s="4"/>
      <c r="J1061" s="4"/>
      <c r="K1061" s="4"/>
      <c r="L1061" s="4"/>
      <c r="M1061" s="4"/>
      <c r="N1061" s="4"/>
      <c r="O1061" s="4"/>
      <c r="P1061" s="4"/>
      <c r="Q1061" s="4"/>
      <c r="R1061" s="4"/>
      <c r="S1061" s="4"/>
      <c r="T1061" s="4"/>
      <c r="U1061" s="4"/>
      <c r="V1061" s="4"/>
      <c r="W1061" s="4"/>
      <c r="X1061" s="4"/>
      <c r="Y1061" s="4"/>
      <c r="Z1061" s="4"/>
    </row>
    <row r="1062" spans="1:26" ht="15.75" customHeight="1" x14ac:dyDescent="0.2">
      <c r="A1062" s="1" t="s">
        <v>2116</v>
      </c>
      <c r="B1062" s="1" t="s">
        <v>2117</v>
      </c>
      <c r="C1062" s="5" t="str">
        <f ca="1">IFERROR(__xludf.DUMMYFUNCTION("REGEXEXTRACT($B1062, $E$2)"),"spalding")</f>
        <v>spalding</v>
      </c>
      <c r="E1062" s="4"/>
      <c r="F1062" s="4"/>
      <c r="G1062" s="4"/>
      <c r="H1062" s="4"/>
      <c r="I1062" s="4"/>
      <c r="J1062" s="4"/>
      <c r="K1062" s="4"/>
      <c r="L1062" s="4"/>
      <c r="M1062" s="4"/>
      <c r="N1062" s="4"/>
      <c r="O1062" s="4"/>
      <c r="P1062" s="4"/>
      <c r="Q1062" s="4"/>
      <c r="R1062" s="4"/>
      <c r="S1062" s="4"/>
      <c r="T1062" s="4"/>
      <c r="U1062" s="4"/>
      <c r="V1062" s="4"/>
      <c r="W1062" s="4"/>
      <c r="X1062" s="4"/>
      <c r="Y1062" s="4"/>
      <c r="Z1062" s="4"/>
    </row>
    <row r="1063" spans="1:26" ht="15.75" customHeight="1" x14ac:dyDescent="0.2">
      <c r="A1063" s="1" t="s">
        <v>2118</v>
      </c>
      <c r="B1063" s="1" t="s">
        <v>2119</v>
      </c>
      <c r="C1063" s="5" t="str">
        <f ca="1">IFERROR(__xludf.DUMMYFUNCTION("REGEXEXTRACT($B1063, $E$2)"),"spelman")</f>
        <v>spelman</v>
      </c>
      <c r="E1063" s="4"/>
      <c r="F1063" s="4"/>
      <c r="G1063" s="4"/>
      <c r="H1063" s="4"/>
      <c r="I1063" s="4"/>
      <c r="J1063" s="4"/>
      <c r="K1063" s="4"/>
      <c r="L1063" s="4"/>
      <c r="M1063" s="4"/>
      <c r="N1063" s="4"/>
      <c r="O1063" s="4"/>
      <c r="P1063" s="4"/>
      <c r="Q1063" s="4"/>
      <c r="R1063" s="4"/>
      <c r="S1063" s="4"/>
      <c r="T1063" s="4"/>
      <c r="U1063" s="4"/>
      <c r="V1063" s="4"/>
      <c r="W1063" s="4"/>
      <c r="X1063" s="4"/>
      <c r="Y1063" s="4"/>
      <c r="Z1063" s="4"/>
    </row>
    <row r="1064" spans="1:26" ht="15.75" customHeight="1" x14ac:dyDescent="0.2">
      <c r="A1064" s="1" t="s">
        <v>2120</v>
      </c>
      <c r="B1064" s="1" t="s">
        <v>2121</v>
      </c>
      <c r="C1064" s="5" t="str">
        <f ca="1">IFERROR(__xludf.DUMMYFUNCTION("REGEXEXTRACT($B1064, $E$2)"),"arbor")</f>
        <v>arbor</v>
      </c>
      <c r="E1064" s="4"/>
      <c r="F1064" s="4"/>
      <c r="G1064" s="4"/>
      <c r="H1064" s="4"/>
      <c r="I1064" s="4"/>
      <c r="J1064" s="4"/>
      <c r="K1064" s="4"/>
      <c r="L1064" s="4"/>
      <c r="M1064" s="4"/>
      <c r="N1064" s="4"/>
      <c r="O1064" s="4"/>
      <c r="P1064" s="4"/>
      <c r="Q1064" s="4"/>
      <c r="R1064" s="4"/>
      <c r="S1064" s="4"/>
      <c r="T1064" s="4"/>
      <c r="U1064" s="4"/>
      <c r="V1064" s="4"/>
      <c r="W1064" s="4"/>
      <c r="X1064" s="4"/>
      <c r="Y1064" s="4"/>
      <c r="Z1064" s="4"/>
    </row>
    <row r="1065" spans="1:26" ht="15.75" customHeight="1" x14ac:dyDescent="0.2">
      <c r="A1065" s="1" t="s">
        <v>2122</v>
      </c>
      <c r="B1065" s="1" t="s">
        <v>2123</v>
      </c>
      <c r="C1065" s="5" t="str">
        <f ca="1">IFERROR(__xludf.DUMMYFUNCTION("REGEXEXTRACT($B1065, $E$2)"),"shc")</f>
        <v>shc</v>
      </c>
      <c r="E1065" s="4"/>
      <c r="F1065" s="4"/>
      <c r="G1065" s="4"/>
      <c r="H1065" s="4"/>
      <c r="I1065" s="4"/>
      <c r="J1065" s="4"/>
      <c r="K1065" s="4"/>
      <c r="L1065" s="4"/>
      <c r="M1065" s="4"/>
      <c r="N1065" s="4"/>
      <c r="O1065" s="4"/>
      <c r="P1065" s="4"/>
      <c r="Q1065" s="4"/>
      <c r="R1065" s="4"/>
      <c r="S1065" s="4"/>
      <c r="T1065" s="4"/>
      <c r="U1065" s="4"/>
      <c r="V1065" s="4"/>
      <c r="W1065" s="4"/>
      <c r="X1065" s="4"/>
      <c r="Y1065" s="4"/>
      <c r="Z1065" s="4"/>
    </row>
    <row r="1066" spans="1:26" ht="15.75" customHeight="1" x14ac:dyDescent="0.2">
      <c r="A1066" s="1" t="s">
        <v>2124</v>
      </c>
      <c r="B1066" s="1" t="s">
        <v>2125</v>
      </c>
      <c r="C1066" s="5" t="str">
        <f ca="1">IFERROR(__xludf.DUMMYFUNCTION("REGEXEXTRACT($B1066, $E$2)"),"springfieldcollege")</f>
        <v>springfieldcollege</v>
      </c>
      <c r="E1066" s="4"/>
      <c r="F1066" s="4"/>
      <c r="G1066" s="4"/>
      <c r="H1066" s="4"/>
      <c r="I1066" s="4"/>
      <c r="J1066" s="4"/>
      <c r="K1066" s="4"/>
      <c r="L1066" s="4"/>
      <c r="M1066" s="4"/>
      <c r="N1066" s="4"/>
      <c r="O1066" s="4"/>
      <c r="P1066" s="4"/>
      <c r="Q1066" s="4"/>
      <c r="R1066" s="4"/>
      <c r="S1066" s="4"/>
      <c r="T1066" s="4"/>
      <c r="U1066" s="4"/>
      <c r="V1066" s="4"/>
      <c r="W1066" s="4"/>
      <c r="X1066" s="4"/>
      <c r="Y1066" s="4"/>
      <c r="Z1066" s="4"/>
    </row>
    <row r="1067" spans="1:26" ht="15.75" customHeight="1" x14ac:dyDescent="0.2">
      <c r="A1067" s="1" t="s">
        <v>2126</v>
      </c>
      <c r="B1067" s="1" t="s">
        <v>2127</v>
      </c>
      <c r="C1067" s="5" t="str">
        <f ca="1">IFERROR(__xludf.DUMMYFUNCTION("REGEXEXTRACT($B1067, $E$2)"),"sau")</f>
        <v>sau</v>
      </c>
      <c r="E1067" s="4"/>
      <c r="F1067" s="4"/>
      <c r="G1067" s="4"/>
      <c r="H1067" s="4"/>
      <c r="I1067" s="4"/>
      <c r="J1067" s="4"/>
      <c r="K1067" s="4"/>
      <c r="L1067" s="4"/>
      <c r="M1067" s="4"/>
      <c r="N1067" s="4"/>
      <c r="O1067" s="4"/>
      <c r="P1067" s="4"/>
      <c r="Q1067" s="4"/>
      <c r="R1067" s="4"/>
      <c r="S1067" s="4"/>
      <c r="T1067" s="4"/>
      <c r="U1067" s="4"/>
      <c r="V1067" s="4"/>
      <c r="W1067" s="4"/>
      <c r="X1067" s="4"/>
      <c r="Y1067" s="4"/>
      <c r="Z1067" s="4"/>
    </row>
    <row r="1068" spans="1:26" ht="15.75" customHeight="1" x14ac:dyDescent="0.2">
      <c r="A1068" s="1" t="s">
        <v>2128</v>
      </c>
      <c r="B1068" s="1" t="s">
        <v>2129</v>
      </c>
      <c r="C1068" s="5" t="str">
        <f ca="1">IFERROR(__xludf.DUMMYFUNCTION("REGEXEXTRACT($B1068, $E$2)"),"sa")</f>
        <v>sa</v>
      </c>
      <c r="E1068" s="4"/>
      <c r="F1068" s="4"/>
      <c r="G1068" s="4"/>
      <c r="H1068" s="4"/>
      <c r="I1068" s="4"/>
      <c r="J1068" s="4"/>
      <c r="K1068" s="4"/>
      <c r="L1068" s="4"/>
      <c r="M1068" s="4"/>
      <c r="N1068" s="4"/>
      <c r="O1068" s="4"/>
      <c r="P1068" s="4"/>
      <c r="Q1068" s="4"/>
      <c r="R1068" s="4"/>
      <c r="S1068" s="4"/>
      <c r="T1068" s="4"/>
      <c r="U1068" s="4"/>
      <c r="V1068" s="4"/>
      <c r="W1068" s="4"/>
      <c r="X1068" s="4"/>
      <c r="Y1068" s="4"/>
      <c r="Z1068" s="4"/>
    </row>
    <row r="1069" spans="1:26" ht="15.75" customHeight="1" x14ac:dyDescent="0.2">
      <c r="A1069" s="1" t="s">
        <v>2130</v>
      </c>
      <c r="B1069" s="1" t="s">
        <v>2131</v>
      </c>
      <c r="C1069" s="5" t="str">
        <f ca="1">IFERROR(__xludf.DUMMYFUNCTION("REGEXEXTRACT($B1069, $E$2)"),"sacn")</f>
        <v>sacn</v>
      </c>
      <c r="E1069" s="4"/>
      <c r="F1069" s="4"/>
      <c r="G1069" s="4"/>
      <c r="H1069" s="4"/>
      <c r="I1069" s="4"/>
      <c r="J1069" s="4"/>
      <c r="K1069" s="4"/>
      <c r="L1069" s="4"/>
      <c r="M1069" s="4"/>
      <c r="N1069" s="4"/>
      <c r="O1069" s="4"/>
      <c r="P1069" s="4"/>
      <c r="Q1069" s="4"/>
      <c r="R1069" s="4"/>
      <c r="S1069" s="4"/>
      <c r="T1069" s="4"/>
      <c r="U1069" s="4"/>
      <c r="V1069" s="4"/>
      <c r="W1069" s="4"/>
      <c r="X1069" s="4"/>
      <c r="Y1069" s="4"/>
      <c r="Z1069" s="4"/>
    </row>
    <row r="1070" spans="1:26" ht="15.75" customHeight="1" x14ac:dyDescent="0.2">
      <c r="A1070" s="1" t="s">
        <v>2132</v>
      </c>
      <c r="B1070" s="1" t="s">
        <v>2133</v>
      </c>
      <c r="C1070" s="5" t="str">
        <f ca="1">IFERROR(__xludf.DUMMYFUNCTION("REGEXEXTRACT($B1070, $E$2)"),"sbu")</f>
        <v>sbu</v>
      </c>
      <c r="E1070" s="4"/>
      <c r="F1070" s="4"/>
      <c r="G1070" s="4"/>
      <c r="H1070" s="4"/>
      <c r="I1070" s="4"/>
      <c r="J1070" s="4"/>
      <c r="K1070" s="4"/>
      <c r="L1070" s="4"/>
      <c r="M1070" s="4"/>
      <c r="N1070" s="4"/>
      <c r="O1070" s="4"/>
      <c r="P1070" s="4"/>
      <c r="Q1070" s="4"/>
      <c r="R1070" s="4"/>
      <c r="S1070" s="4"/>
      <c r="T1070" s="4"/>
      <c r="U1070" s="4"/>
      <c r="V1070" s="4"/>
      <c r="W1070" s="4"/>
      <c r="X1070" s="4"/>
      <c r="Y1070" s="4"/>
      <c r="Z1070" s="4"/>
    </row>
    <row r="1071" spans="1:26" ht="15.75" customHeight="1" x14ac:dyDescent="0.2">
      <c r="A1071" s="1" t="s">
        <v>2134</v>
      </c>
      <c r="B1071" s="1" t="s">
        <v>2135</v>
      </c>
      <c r="C1071" s="5" t="str">
        <f ca="1">IFERROR(__xludf.DUMMYFUNCTION("REGEXEXTRACT($B1071, $E$2)"),"stkate")</f>
        <v>stkate</v>
      </c>
      <c r="E1071" s="4"/>
      <c r="F1071" s="4"/>
      <c r="G1071" s="4"/>
      <c r="H1071" s="4"/>
      <c r="I1071" s="4"/>
      <c r="J1071" s="4"/>
      <c r="K1071" s="4"/>
      <c r="L1071" s="4"/>
      <c r="M1071" s="4"/>
      <c r="N1071" s="4"/>
      <c r="O1071" s="4"/>
      <c r="P1071" s="4"/>
      <c r="Q1071" s="4"/>
      <c r="R1071" s="4"/>
      <c r="S1071" s="4"/>
      <c r="T1071" s="4"/>
      <c r="U1071" s="4"/>
      <c r="V1071" s="4"/>
      <c r="W1071" s="4"/>
      <c r="X1071" s="4"/>
      <c r="Y1071" s="4"/>
      <c r="Z1071" s="4"/>
    </row>
    <row r="1072" spans="1:26" ht="15.75" customHeight="1" x14ac:dyDescent="0.2">
      <c r="A1072" s="1" t="s">
        <v>2136</v>
      </c>
      <c r="B1072" s="1" t="s">
        <v>2137</v>
      </c>
      <c r="C1072" s="5" t="str">
        <f ca="1">IFERROR(__xludf.DUMMYFUNCTION("REGEXEXTRACT($B1072, $E$2)"),"stcloudstate")</f>
        <v>stcloudstate</v>
      </c>
      <c r="E1072" s="4"/>
      <c r="F1072" s="4"/>
      <c r="G1072" s="4"/>
      <c r="H1072" s="4"/>
      <c r="I1072" s="4"/>
      <c r="J1072" s="4"/>
      <c r="K1072" s="4"/>
      <c r="L1072" s="4"/>
      <c r="M1072" s="4"/>
      <c r="N1072" s="4"/>
      <c r="O1072" s="4"/>
      <c r="P1072" s="4"/>
      <c r="Q1072" s="4"/>
      <c r="R1072" s="4"/>
      <c r="S1072" s="4"/>
      <c r="T1072" s="4"/>
      <c r="U1072" s="4"/>
      <c r="V1072" s="4"/>
      <c r="W1072" s="4"/>
      <c r="X1072" s="4"/>
      <c r="Y1072" s="4"/>
      <c r="Z1072" s="4"/>
    </row>
    <row r="1073" spans="1:26" ht="15.75" customHeight="1" x14ac:dyDescent="0.2">
      <c r="A1073" s="1" t="s">
        <v>2138</v>
      </c>
      <c r="B1073" s="1" t="s">
        <v>2139</v>
      </c>
      <c r="C1073" s="5" t="str">
        <f ca="1">IFERROR(__xludf.DUMMYFUNCTION("REGEXEXTRACT($B1073, $E$2)"),"stedwards")</f>
        <v>stedwards</v>
      </c>
      <c r="E1073" s="4"/>
      <c r="F1073" s="4"/>
      <c r="G1073" s="4"/>
      <c r="H1073" s="4"/>
      <c r="I1073" s="4"/>
      <c r="J1073" s="4"/>
      <c r="K1073" s="4"/>
      <c r="L1073" s="4"/>
      <c r="M1073" s="4"/>
      <c r="N1073" s="4"/>
      <c r="O1073" s="4"/>
      <c r="P1073" s="4"/>
      <c r="Q1073" s="4"/>
      <c r="R1073" s="4"/>
      <c r="S1073" s="4"/>
      <c r="T1073" s="4"/>
      <c r="U1073" s="4"/>
      <c r="V1073" s="4"/>
      <c r="W1073" s="4"/>
      <c r="X1073" s="4"/>
      <c r="Y1073" s="4"/>
      <c r="Z1073" s="4"/>
    </row>
    <row r="1074" spans="1:26" ht="15.75" customHeight="1" x14ac:dyDescent="0.2">
      <c r="A1074" s="1" t="s">
        <v>2140</v>
      </c>
      <c r="B1074" s="1" t="s">
        <v>2141</v>
      </c>
      <c r="C1074" s="5" t="str">
        <f ca="1">IFERROR(__xludf.DUMMYFUNCTION("REGEXEXTRACT($B1074, $E$2)"),"sfc")</f>
        <v>sfc</v>
      </c>
      <c r="E1074" s="4"/>
      <c r="F1074" s="4"/>
      <c r="G1074" s="4"/>
      <c r="H1074" s="4"/>
      <c r="I1074" s="4"/>
      <c r="J1074" s="4"/>
      <c r="K1074" s="4"/>
      <c r="L1074" s="4"/>
      <c r="M1074" s="4"/>
      <c r="N1074" s="4"/>
      <c r="O1074" s="4"/>
      <c r="P1074" s="4"/>
      <c r="Q1074" s="4"/>
      <c r="R1074" s="4"/>
      <c r="S1074" s="4"/>
      <c r="T1074" s="4"/>
      <c r="U1074" s="4"/>
      <c r="V1074" s="4"/>
      <c r="W1074" s="4"/>
      <c r="X1074" s="4"/>
      <c r="Y1074" s="4"/>
      <c r="Z1074" s="4"/>
    </row>
    <row r="1075" spans="1:26" ht="15.75" customHeight="1" x14ac:dyDescent="0.2">
      <c r="A1075" s="1" t="s">
        <v>2142</v>
      </c>
      <c r="B1075" s="1" t="s">
        <v>2143</v>
      </c>
      <c r="C1075" s="5" t="str">
        <f ca="1">IFERROR(__xludf.DUMMYFUNCTION("REGEXEXTRACT($B1075, $E$2)"),"#N/A")</f>
        <v>#N/A</v>
      </c>
      <c r="E1075" s="4"/>
      <c r="F1075" s="4"/>
      <c r="G1075" s="4"/>
      <c r="H1075" s="4"/>
      <c r="I1075" s="4"/>
      <c r="J1075" s="4"/>
      <c r="K1075" s="4"/>
      <c r="L1075" s="4"/>
      <c r="M1075" s="4"/>
      <c r="N1075" s="4"/>
      <c r="O1075" s="4"/>
      <c r="P1075" s="4"/>
      <c r="Q1075" s="4"/>
      <c r="R1075" s="4"/>
      <c r="S1075" s="4"/>
      <c r="T1075" s="4"/>
      <c r="U1075" s="4"/>
      <c r="V1075" s="4"/>
      <c r="W1075" s="4"/>
      <c r="X1075" s="4"/>
      <c r="Y1075" s="4"/>
      <c r="Z1075" s="4"/>
    </row>
    <row r="1076" spans="1:26" ht="15.75" customHeight="1" x14ac:dyDescent="0.2">
      <c r="A1076" s="1" t="s">
        <v>2144</v>
      </c>
      <c r="B1076" s="1" t="s">
        <v>2145</v>
      </c>
      <c r="C1076" s="5" t="str">
        <f ca="1">IFERROR(__xludf.DUMMYFUNCTION("REGEXEXTRACT($B1076, $E$2)"),"sjfc")</f>
        <v>sjfc</v>
      </c>
      <c r="E1076" s="4"/>
      <c r="F1076" s="4"/>
      <c r="G1076" s="4"/>
      <c r="H1076" s="4"/>
      <c r="I1076" s="4"/>
      <c r="J1076" s="4"/>
      <c r="K1076" s="4"/>
      <c r="L1076" s="4"/>
      <c r="M1076" s="4"/>
      <c r="N1076" s="4"/>
      <c r="O1076" s="4"/>
      <c r="P1076" s="4"/>
      <c r="Q1076" s="4"/>
      <c r="R1076" s="4"/>
      <c r="S1076" s="4"/>
      <c r="T1076" s="4"/>
      <c r="U1076" s="4"/>
      <c r="V1076" s="4"/>
      <c r="W1076" s="4"/>
      <c r="X1076" s="4"/>
      <c r="Y1076" s="4"/>
      <c r="Z1076" s="4"/>
    </row>
    <row r="1077" spans="1:26" ht="15.75" customHeight="1" x14ac:dyDescent="0.2">
      <c r="A1077" s="1" t="s">
        <v>2146</v>
      </c>
      <c r="B1077" s="1" t="s">
        <v>2147</v>
      </c>
      <c r="C1077" s="5" t="str">
        <f ca="1">IFERROR(__xludf.DUMMYFUNCTION("REGEXEXTRACT($B1077, $E$2)"),"sjc")</f>
        <v>sjc</v>
      </c>
      <c r="E1077" s="4"/>
      <c r="F1077" s="4"/>
      <c r="G1077" s="4"/>
      <c r="H1077" s="4"/>
      <c r="I1077" s="4"/>
      <c r="J1077" s="4"/>
      <c r="K1077" s="4"/>
      <c r="L1077" s="4"/>
      <c r="M1077" s="4"/>
      <c r="N1077" s="4"/>
      <c r="O1077" s="4"/>
      <c r="P1077" s="4"/>
      <c r="Q1077" s="4"/>
      <c r="R1077" s="4"/>
      <c r="S1077" s="4"/>
      <c r="T1077" s="4"/>
      <c r="U1077" s="4"/>
      <c r="V1077" s="4"/>
      <c r="W1077" s="4"/>
      <c r="X1077" s="4"/>
      <c r="Y1077" s="4"/>
      <c r="Z1077" s="4"/>
    </row>
    <row r="1078" spans="1:26" ht="15.75" customHeight="1" x14ac:dyDescent="0.2">
      <c r="A1078" s="1" t="s">
        <v>2148</v>
      </c>
      <c r="B1078" s="1" t="s">
        <v>2149</v>
      </c>
      <c r="C1078" s="5" t="str">
        <f ca="1">IFERROR(__xludf.DUMMYFUNCTION("REGEXEXTRACT($B1078, $E$2)"),"stjohns")</f>
        <v>stjohns</v>
      </c>
      <c r="E1078" s="4"/>
      <c r="F1078" s="4"/>
      <c r="G1078" s="4"/>
      <c r="H1078" s="4"/>
      <c r="I1078" s="4"/>
      <c r="J1078" s="4"/>
      <c r="K1078" s="4"/>
      <c r="L1078" s="4"/>
      <c r="M1078" s="4"/>
      <c r="N1078" s="4"/>
      <c r="O1078" s="4"/>
      <c r="P1078" s="4"/>
      <c r="Q1078" s="4"/>
      <c r="R1078" s="4"/>
      <c r="S1078" s="4"/>
      <c r="T1078" s="4"/>
      <c r="U1078" s="4"/>
      <c r="V1078" s="4"/>
      <c r="W1078" s="4"/>
      <c r="X1078" s="4"/>
      <c r="Y1078" s="4"/>
      <c r="Z1078" s="4"/>
    </row>
    <row r="1079" spans="1:26" ht="15.75" customHeight="1" x14ac:dyDescent="0.2">
      <c r="A1079" s="1" t="s">
        <v>2150</v>
      </c>
      <c r="B1079" s="1" t="s">
        <v>2151</v>
      </c>
      <c r="C1079" s="5" t="str">
        <f ca="1">IFERROR(__xludf.DUMMYFUNCTION("REGEXEXTRACT($B1079, $E$2)"),"sjcny")</f>
        <v>sjcny</v>
      </c>
      <c r="E1079" s="4"/>
      <c r="F1079" s="4"/>
      <c r="G1079" s="4"/>
      <c r="H1079" s="4"/>
      <c r="I1079" s="4"/>
      <c r="J1079" s="4"/>
      <c r="K1079" s="4"/>
      <c r="L1079" s="4"/>
      <c r="M1079" s="4"/>
      <c r="N1079" s="4"/>
      <c r="O1079" s="4"/>
      <c r="P1079" s="4"/>
      <c r="Q1079" s="4"/>
      <c r="R1079" s="4"/>
      <c r="S1079" s="4"/>
      <c r="T1079" s="4"/>
      <c r="U1079" s="4"/>
      <c r="V1079" s="4"/>
      <c r="W1079" s="4"/>
      <c r="X1079" s="4"/>
      <c r="Y1079" s="4"/>
      <c r="Z1079" s="4"/>
    </row>
    <row r="1080" spans="1:26" ht="15.75" customHeight="1" x14ac:dyDescent="0.2">
      <c r="A1080" s="1" t="s">
        <v>2152</v>
      </c>
      <c r="B1080" s="1" t="s">
        <v>2153</v>
      </c>
      <c r="C1080" s="5" t="str">
        <f ca="1">IFERROR(__xludf.DUMMYFUNCTION("REGEXEXTRACT($B1080, $E$2)"),"stlawu")</f>
        <v>stlawu</v>
      </c>
      <c r="E1080" s="4"/>
      <c r="F1080" s="4"/>
      <c r="G1080" s="4"/>
      <c r="H1080" s="4"/>
      <c r="I1080" s="4"/>
      <c r="J1080" s="4"/>
      <c r="K1080" s="4"/>
      <c r="L1080" s="4"/>
      <c r="M1080" s="4"/>
      <c r="N1080" s="4"/>
      <c r="O1080" s="4"/>
      <c r="P1080" s="4"/>
      <c r="Q1080" s="4"/>
      <c r="R1080" s="4"/>
      <c r="S1080" s="4"/>
      <c r="T1080" s="4"/>
      <c r="U1080" s="4"/>
      <c r="V1080" s="4"/>
      <c r="W1080" s="4"/>
      <c r="X1080" s="4"/>
      <c r="Y1080" s="4"/>
      <c r="Z1080" s="4"/>
    </row>
    <row r="1081" spans="1:26" ht="15.75" customHeight="1" x14ac:dyDescent="0.2">
      <c r="A1081" s="1" t="s">
        <v>2154</v>
      </c>
      <c r="B1081" s="1" t="s">
        <v>2155</v>
      </c>
      <c r="C1081" s="5" t="str">
        <f ca="1">IFERROR(__xludf.DUMMYFUNCTION("REGEXEXTRACT($B1081, $E$2)"),"stlchristian")</f>
        <v>stlchristian</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ht="15.75" customHeight="1" x14ac:dyDescent="0.2">
      <c r="A1082" s="1" t="s">
        <v>2156</v>
      </c>
      <c r="B1082" s="1" t="s">
        <v>2157</v>
      </c>
      <c r="C1082" s="5" t="str">
        <f ca="1">IFERROR(__xludf.DUMMYFUNCTION("REGEXEXTRACT($B1082, $E$2)"),"stlcop")</f>
        <v>stlcop</v>
      </c>
      <c r="E1082" s="4"/>
      <c r="F1082" s="4"/>
      <c r="G1082" s="4"/>
      <c r="H1082" s="4"/>
      <c r="I1082" s="4"/>
      <c r="J1082" s="4"/>
      <c r="K1082" s="4"/>
      <c r="L1082" s="4"/>
      <c r="M1082" s="4"/>
      <c r="N1082" s="4"/>
      <c r="O1082" s="4"/>
      <c r="P1082" s="4"/>
      <c r="Q1082" s="4"/>
      <c r="R1082" s="4"/>
      <c r="S1082" s="4"/>
      <c r="T1082" s="4"/>
      <c r="U1082" s="4"/>
      <c r="V1082" s="4"/>
      <c r="W1082" s="4"/>
      <c r="X1082" s="4"/>
      <c r="Y1082" s="4"/>
      <c r="Z1082" s="4"/>
    </row>
    <row r="1083" spans="1:26" ht="15.75" customHeight="1" x14ac:dyDescent="0.2">
      <c r="A1083" s="1" t="s">
        <v>2158</v>
      </c>
      <c r="B1083" s="1" t="s">
        <v>2159</v>
      </c>
      <c r="C1083" s="5" t="str">
        <f ca="1">IFERROR(__xludf.DUMMYFUNCTION("REGEXEXTRACT($B1083, $E$2)"),"smcm")</f>
        <v>smcm</v>
      </c>
      <c r="E1083" s="4"/>
      <c r="F1083" s="4"/>
      <c r="G1083" s="4"/>
      <c r="H1083" s="4"/>
      <c r="I1083" s="4"/>
      <c r="J1083" s="4"/>
      <c r="K1083" s="4"/>
      <c r="L1083" s="4"/>
      <c r="M1083" s="4"/>
      <c r="N1083" s="4"/>
      <c r="O1083" s="4"/>
      <c r="P1083" s="4"/>
      <c r="Q1083" s="4"/>
      <c r="R1083" s="4"/>
      <c r="S1083" s="4"/>
      <c r="T1083" s="4"/>
      <c r="U1083" s="4"/>
      <c r="V1083" s="4"/>
      <c r="W1083" s="4"/>
      <c r="X1083" s="4"/>
      <c r="Y1083" s="4"/>
      <c r="Z1083" s="4"/>
    </row>
    <row r="1084" spans="1:26" ht="15.75" customHeight="1" x14ac:dyDescent="0.2">
      <c r="A1084" s="1" t="s">
        <v>2160</v>
      </c>
      <c r="B1084" s="1" t="s">
        <v>2161</v>
      </c>
      <c r="C1084" s="5" t="str">
        <f ca="1">IFERROR(__xludf.DUMMYFUNCTION("REGEXEXTRACT($B1084, $E$2)"),"stmarytx")</f>
        <v>stmarytx</v>
      </c>
      <c r="E1084" s="4"/>
      <c r="F1084" s="4"/>
      <c r="G1084" s="4"/>
      <c r="H1084" s="4"/>
      <c r="I1084" s="4"/>
      <c r="J1084" s="4"/>
      <c r="K1084" s="4"/>
      <c r="L1084" s="4"/>
      <c r="M1084" s="4"/>
      <c r="N1084" s="4"/>
      <c r="O1084" s="4"/>
      <c r="P1084" s="4"/>
      <c r="Q1084" s="4"/>
      <c r="R1084" s="4"/>
      <c r="S1084" s="4"/>
      <c r="T1084" s="4"/>
      <c r="U1084" s="4"/>
      <c r="V1084" s="4"/>
      <c r="W1084" s="4"/>
      <c r="X1084" s="4"/>
      <c r="Y1084" s="4"/>
      <c r="Z1084" s="4"/>
    </row>
    <row r="1085" spans="1:26" ht="15.75" customHeight="1" x14ac:dyDescent="0.2">
      <c r="A1085" s="1" t="s">
        <v>2162</v>
      </c>
      <c r="B1085" s="1" t="s">
        <v>2163</v>
      </c>
      <c r="C1085" s="5" t="str">
        <f ca="1">IFERROR(__xludf.DUMMYFUNCTION("REGEXEXTRACT($B1085, $E$2)"),"snc")</f>
        <v>snc</v>
      </c>
      <c r="E1085" s="4"/>
      <c r="F1085" s="4"/>
      <c r="G1085" s="4"/>
      <c r="H1085" s="4"/>
      <c r="I1085" s="4"/>
      <c r="J1085" s="4"/>
      <c r="K1085" s="4"/>
      <c r="L1085" s="4"/>
      <c r="M1085" s="4"/>
      <c r="N1085" s="4"/>
      <c r="O1085" s="4"/>
      <c r="P1085" s="4"/>
      <c r="Q1085" s="4"/>
      <c r="R1085" s="4"/>
      <c r="S1085" s="4"/>
      <c r="T1085" s="4"/>
      <c r="U1085" s="4"/>
      <c r="V1085" s="4"/>
      <c r="W1085" s="4"/>
      <c r="X1085" s="4"/>
      <c r="Y1085" s="4"/>
      <c r="Z1085" s="4"/>
    </row>
    <row r="1086" spans="1:26" ht="15.75" customHeight="1" x14ac:dyDescent="0.2">
      <c r="A1086" s="1" t="s">
        <v>2164</v>
      </c>
      <c r="B1086" s="1" t="s">
        <v>2165</v>
      </c>
      <c r="C1086" s="5" t="str">
        <f ca="1">IFERROR(__xludf.DUMMYFUNCTION("REGEXEXTRACT($B1086, $E$2)"),"stolaf")</f>
        <v>stolaf</v>
      </c>
      <c r="E1086" s="4"/>
      <c r="F1086" s="4"/>
      <c r="G1086" s="4"/>
      <c r="H1086" s="4"/>
      <c r="I1086" s="4"/>
      <c r="J1086" s="4"/>
      <c r="K1086" s="4"/>
      <c r="L1086" s="4"/>
      <c r="M1086" s="4"/>
      <c r="N1086" s="4"/>
      <c r="O1086" s="4"/>
      <c r="P1086" s="4"/>
      <c r="Q1086" s="4"/>
      <c r="R1086" s="4"/>
      <c r="S1086" s="4"/>
      <c r="T1086" s="4"/>
      <c r="U1086" s="4"/>
      <c r="V1086" s="4"/>
      <c r="W1086" s="4"/>
      <c r="X1086" s="4"/>
      <c r="Y1086" s="4"/>
      <c r="Z1086" s="4"/>
    </row>
    <row r="1087" spans="1:26" ht="15.75" customHeight="1" x14ac:dyDescent="0.2">
      <c r="A1087" s="1" t="s">
        <v>2166</v>
      </c>
      <c r="B1087" s="1" t="s">
        <v>2167</v>
      </c>
      <c r="C1087" s="5" t="str">
        <f ca="1">IFERROR(__xludf.DUMMYFUNCTION("REGEXEXTRACT($B1087, $E$2)"),"spcollege")</f>
        <v>spcollege</v>
      </c>
      <c r="E1087" s="4"/>
      <c r="F1087" s="4"/>
      <c r="G1087" s="4"/>
      <c r="H1087" s="4"/>
      <c r="I1087" s="4"/>
      <c r="J1087" s="4"/>
      <c r="K1087" s="4"/>
      <c r="L1087" s="4"/>
      <c r="M1087" s="4"/>
      <c r="N1087" s="4"/>
      <c r="O1087" s="4"/>
      <c r="P1087" s="4"/>
      <c r="Q1087" s="4"/>
      <c r="R1087" s="4"/>
      <c r="S1087" s="4"/>
      <c r="T1087" s="4"/>
      <c r="U1087" s="4"/>
      <c r="V1087" s="4"/>
      <c r="W1087" s="4"/>
      <c r="X1087" s="4"/>
      <c r="Y1087" s="4"/>
      <c r="Z1087" s="4"/>
    </row>
    <row r="1088" spans="1:26" ht="15.75" customHeight="1" x14ac:dyDescent="0.2">
      <c r="A1088" s="1" t="s">
        <v>2168</v>
      </c>
      <c r="B1088" s="1" t="s">
        <v>2169</v>
      </c>
      <c r="C1088" s="5" t="str">
        <f ca="1">IFERROR(__xludf.DUMMYFUNCTION("REGEXEXTRACT($B1088, $E$2)"),"stac")</f>
        <v>stac</v>
      </c>
      <c r="E1088" s="4"/>
      <c r="F1088" s="4"/>
      <c r="G1088" s="4"/>
      <c r="H1088" s="4"/>
      <c r="I1088" s="4"/>
      <c r="J1088" s="4"/>
      <c r="K1088" s="4"/>
      <c r="L1088" s="4"/>
      <c r="M1088" s="4"/>
      <c r="N1088" s="4"/>
      <c r="O1088" s="4"/>
      <c r="P1088" s="4"/>
      <c r="Q1088" s="4"/>
      <c r="R1088" s="4"/>
      <c r="S1088" s="4"/>
      <c r="T1088" s="4"/>
      <c r="U1088" s="4"/>
      <c r="V1088" s="4"/>
      <c r="W1088" s="4"/>
      <c r="X1088" s="4"/>
      <c r="Y1088" s="4"/>
      <c r="Z1088" s="4"/>
    </row>
    <row r="1089" spans="1:26" ht="15.75" customHeight="1" x14ac:dyDescent="0.2">
      <c r="A1089" s="1" t="s">
        <v>2170</v>
      </c>
      <c r="B1089" s="1" t="s">
        <v>2171</v>
      </c>
      <c r="C1089" s="5" t="str">
        <f ca="1">IFERROR(__xludf.DUMMYFUNCTION("REGEXEXTRACT($B1089, $E$2)"),"stu")</f>
        <v>stu</v>
      </c>
      <c r="E1089" s="4"/>
      <c r="F1089" s="4"/>
      <c r="G1089" s="4"/>
      <c r="H1089" s="4"/>
      <c r="I1089" s="4"/>
      <c r="J1089" s="4"/>
      <c r="K1089" s="4"/>
      <c r="L1089" s="4"/>
      <c r="M1089" s="4"/>
      <c r="N1089" s="4"/>
      <c r="O1089" s="4"/>
      <c r="P1089" s="4"/>
      <c r="Q1089" s="4"/>
      <c r="R1089" s="4"/>
      <c r="S1089" s="4"/>
      <c r="T1089" s="4"/>
      <c r="U1089" s="4"/>
      <c r="V1089" s="4"/>
      <c r="W1089" s="4"/>
      <c r="X1089" s="4"/>
      <c r="Y1089" s="4"/>
      <c r="Z1089" s="4"/>
    </row>
    <row r="1090" spans="1:26" ht="15.75" customHeight="1" x14ac:dyDescent="0.2">
      <c r="A1090" s="1" t="s">
        <v>2172</v>
      </c>
      <c r="B1090" s="1" t="s">
        <v>2173</v>
      </c>
      <c r="C1090" s="5" t="str">
        <f ca="1">IFERROR(__xludf.DUMMYFUNCTION("REGEXEXTRACT($B1090, $E$2)"),"stanford")</f>
        <v>stanford</v>
      </c>
      <c r="E1090" s="4"/>
      <c r="F1090" s="4"/>
      <c r="G1090" s="4"/>
      <c r="H1090" s="4"/>
      <c r="I1090" s="4"/>
      <c r="J1090" s="4"/>
      <c r="K1090" s="4"/>
      <c r="L1090" s="4"/>
      <c r="M1090" s="4"/>
      <c r="N1090" s="4"/>
      <c r="O1090" s="4"/>
      <c r="P1090" s="4"/>
      <c r="Q1090" s="4"/>
      <c r="R1090" s="4"/>
      <c r="S1090" s="4"/>
      <c r="T1090" s="4"/>
      <c r="U1090" s="4"/>
      <c r="V1090" s="4"/>
      <c r="W1090" s="4"/>
      <c r="X1090" s="4"/>
      <c r="Y1090" s="4"/>
      <c r="Z1090" s="4"/>
    </row>
    <row r="1091" spans="1:26" ht="15.75" customHeight="1" x14ac:dyDescent="0.2">
      <c r="A1091" s="1" t="s">
        <v>2174</v>
      </c>
      <c r="B1091" s="1" t="s">
        <v>2175</v>
      </c>
      <c r="C1091" s="5" t="str">
        <f ca="1">IFERROR(__xludf.DUMMYFUNCTION("REGEXEXTRACT($B1091, $E$2)"),"sfasu")</f>
        <v>sfasu</v>
      </c>
      <c r="E1091" s="4"/>
      <c r="F1091" s="4"/>
      <c r="G1091" s="4"/>
      <c r="H1091" s="4"/>
      <c r="I1091" s="4"/>
      <c r="J1091" s="4"/>
      <c r="K1091" s="4"/>
      <c r="L1091" s="4"/>
      <c r="M1091" s="4"/>
      <c r="N1091" s="4"/>
      <c r="O1091" s="4"/>
      <c r="P1091" s="4"/>
      <c r="Q1091" s="4"/>
      <c r="R1091" s="4"/>
      <c r="S1091" s="4"/>
      <c r="T1091" s="4"/>
      <c r="U1091" s="4"/>
      <c r="V1091" s="4"/>
      <c r="W1091" s="4"/>
      <c r="X1091" s="4"/>
      <c r="Y1091" s="4"/>
      <c r="Z1091" s="4"/>
    </row>
    <row r="1092" spans="1:26" ht="15.75" customHeight="1" x14ac:dyDescent="0.2">
      <c r="A1092" s="1" t="s">
        <v>2176</v>
      </c>
      <c r="B1092" s="1" t="s">
        <v>2177</v>
      </c>
      <c r="C1092" s="5" t="str">
        <f ca="1">IFERROR(__xludf.DUMMYFUNCTION("REGEXEXTRACT($B1092, $E$2)"),"stephens")</f>
        <v>stephens</v>
      </c>
      <c r="E1092" s="4"/>
      <c r="F1092" s="4"/>
      <c r="G1092" s="4"/>
      <c r="H1092" s="4"/>
      <c r="I1092" s="4"/>
      <c r="J1092" s="4"/>
      <c r="K1092" s="4"/>
      <c r="L1092" s="4"/>
      <c r="M1092" s="4"/>
      <c r="N1092" s="4"/>
      <c r="O1092" s="4"/>
      <c r="P1092" s="4"/>
      <c r="Q1092" s="4"/>
      <c r="R1092" s="4"/>
      <c r="S1092" s="4"/>
      <c r="T1092" s="4"/>
      <c r="U1092" s="4"/>
      <c r="V1092" s="4"/>
      <c r="W1092" s="4"/>
      <c r="X1092" s="4"/>
      <c r="Y1092" s="4"/>
      <c r="Z1092" s="4"/>
    </row>
    <row r="1093" spans="1:26" ht="15.75" customHeight="1" x14ac:dyDescent="0.2">
      <c r="A1093" s="1" t="s">
        <v>2178</v>
      </c>
      <c r="B1093" s="1" t="s">
        <v>2179</v>
      </c>
      <c r="C1093" s="5" t="str">
        <f ca="1">IFERROR(__xludf.DUMMYFUNCTION("REGEXEXTRACT($B1093, $E$2)"),"sterlingcollege")</f>
        <v>sterlingcollege</v>
      </c>
      <c r="E1093" s="4"/>
      <c r="F1093" s="4"/>
      <c r="G1093" s="4"/>
      <c r="H1093" s="4"/>
      <c r="I1093" s="4"/>
      <c r="J1093" s="4"/>
      <c r="K1093" s="4"/>
      <c r="L1093" s="4"/>
      <c r="M1093" s="4"/>
      <c r="N1093" s="4"/>
      <c r="O1093" s="4"/>
      <c r="P1093" s="4"/>
      <c r="Q1093" s="4"/>
      <c r="R1093" s="4"/>
      <c r="S1093" s="4"/>
      <c r="T1093" s="4"/>
      <c r="U1093" s="4"/>
      <c r="V1093" s="4"/>
      <c r="W1093" s="4"/>
      <c r="X1093" s="4"/>
      <c r="Y1093" s="4"/>
      <c r="Z1093" s="4"/>
    </row>
    <row r="1094" spans="1:26" ht="15.75" customHeight="1" x14ac:dyDescent="0.2">
      <c r="A1094" s="1" t="s">
        <v>2178</v>
      </c>
      <c r="B1094" s="1" t="s">
        <v>2180</v>
      </c>
      <c r="C1094" s="5" t="str">
        <f ca="1">IFERROR(__xludf.DUMMYFUNCTION("REGEXEXTRACT($B1094, $E$2)"),"sterling")</f>
        <v>sterling</v>
      </c>
      <c r="E1094" s="4"/>
      <c r="F1094" s="4"/>
      <c r="G1094" s="4"/>
      <c r="H1094" s="4"/>
      <c r="I1094" s="4"/>
      <c r="J1094" s="4"/>
      <c r="K1094" s="4"/>
      <c r="L1094" s="4"/>
      <c r="M1094" s="4"/>
      <c r="N1094" s="4"/>
      <c r="O1094" s="4"/>
      <c r="P1094" s="4"/>
      <c r="Q1094" s="4"/>
      <c r="R1094" s="4"/>
      <c r="S1094" s="4"/>
      <c r="T1094" s="4"/>
      <c r="U1094" s="4"/>
      <c r="V1094" s="4"/>
      <c r="W1094" s="4"/>
      <c r="X1094" s="4"/>
      <c r="Y1094" s="4"/>
      <c r="Z1094" s="4"/>
    </row>
    <row r="1095" spans="1:26" ht="15.75" customHeight="1" x14ac:dyDescent="0.2">
      <c r="A1095" s="1" t="s">
        <v>2181</v>
      </c>
      <c r="B1095" s="1" t="s">
        <v>2182</v>
      </c>
      <c r="C1095" s="5" t="str">
        <f ca="1">IFERROR(__xludf.DUMMYFUNCTION("REGEXEXTRACT($B1095, $E$2)"),"stetson")</f>
        <v>stetson</v>
      </c>
      <c r="E1095" s="4"/>
      <c r="F1095" s="4"/>
      <c r="G1095" s="4"/>
      <c r="H1095" s="4"/>
      <c r="I1095" s="4"/>
      <c r="J1095" s="4"/>
      <c r="K1095" s="4"/>
      <c r="L1095" s="4"/>
      <c r="M1095" s="4"/>
      <c r="N1095" s="4"/>
      <c r="O1095" s="4"/>
      <c r="P1095" s="4"/>
      <c r="Q1095" s="4"/>
      <c r="R1095" s="4"/>
      <c r="S1095" s="4"/>
      <c r="T1095" s="4"/>
      <c r="U1095" s="4"/>
      <c r="V1095" s="4"/>
      <c r="W1095" s="4"/>
      <c r="X1095" s="4"/>
      <c r="Y1095" s="4"/>
      <c r="Z1095" s="4"/>
    </row>
    <row r="1096" spans="1:26" ht="15.75" customHeight="1" x14ac:dyDescent="0.2">
      <c r="A1096" s="1" t="s">
        <v>2183</v>
      </c>
      <c r="B1096" s="1" t="s">
        <v>2184</v>
      </c>
      <c r="C1096" s="5" t="str">
        <f ca="1">IFERROR(__xludf.DUMMYFUNCTION("REGEXEXTRACT($B1096, $E$2)"),"stevens")</f>
        <v>stevens</v>
      </c>
      <c r="E1096" s="4"/>
      <c r="F1096" s="4"/>
      <c r="G1096" s="4"/>
      <c r="H1096" s="4"/>
      <c r="I1096" s="4"/>
      <c r="J1096" s="4"/>
      <c r="K1096" s="4"/>
      <c r="L1096" s="4"/>
      <c r="M1096" s="4"/>
      <c r="N1096" s="4"/>
      <c r="O1096" s="4"/>
      <c r="P1096" s="4"/>
      <c r="Q1096" s="4"/>
      <c r="R1096" s="4"/>
      <c r="S1096" s="4"/>
      <c r="T1096" s="4"/>
      <c r="U1096" s="4"/>
      <c r="V1096" s="4"/>
      <c r="W1096" s="4"/>
      <c r="X1096" s="4"/>
      <c r="Y1096" s="4"/>
      <c r="Z1096" s="4"/>
    </row>
    <row r="1097" spans="1:26" ht="15.75" customHeight="1" x14ac:dyDescent="0.2">
      <c r="A1097" s="1" t="s">
        <v>2185</v>
      </c>
      <c r="B1097" s="1" t="s">
        <v>2186</v>
      </c>
      <c r="C1097" s="5" t="str">
        <f ca="1">IFERROR(__xludf.DUMMYFUNCTION("REGEXEXTRACT($B1097, $E$2)"),"stevenson")</f>
        <v>stevenson</v>
      </c>
      <c r="E1097" s="4"/>
      <c r="F1097" s="4"/>
      <c r="G1097" s="4"/>
      <c r="H1097" s="4"/>
      <c r="I1097" s="4"/>
      <c r="J1097" s="4"/>
      <c r="K1097" s="4"/>
      <c r="L1097" s="4"/>
      <c r="M1097" s="4"/>
      <c r="N1097" s="4"/>
      <c r="O1097" s="4"/>
      <c r="P1097" s="4"/>
      <c r="Q1097" s="4"/>
      <c r="R1097" s="4"/>
      <c r="S1097" s="4"/>
      <c r="T1097" s="4"/>
      <c r="U1097" s="4"/>
      <c r="V1097" s="4"/>
      <c r="W1097" s="4"/>
      <c r="X1097" s="4"/>
      <c r="Y1097" s="4"/>
      <c r="Z1097" s="4"/>
    </row>
    <row r="1098" spans="1:26" ht="15.75" customHeight="1" x14ac:dyDescent="0.2">
      <c r="A1098" s="1" t="s">
        <v>2187</v>
      </c>
      <c r="B1098" s="1" t="s">
        <v>2188</v>
      </c>
      <c r="C1098" s="5" t="str">
        <f ca="1">IFERROR(__xludf.DUMMYFUNCTION("REGEXEXTRACT($B1098, $E$2)"),"stillman")</f>
        <v>stillman</v>
      </c>
      <c r="E1098" s="4"/>
      <c r="F1098" s="4"/>
      <c r="G1098" s="4"/>
      <c r="H1098" s="4"/>
      <c r="I1098" s="4"/>
      <c r="J1098" s="4"/>
      <c r="K1098" s="4"/>
      <c r="L1098" s="4"/>
      <c r="M1098" s="4"/>
      <c r="N1098" s="4"/>
      <c r="O1098" s="4"/>
      <c r="P1098" s="4"/>
      <c r="Q1098" s="4"/>
      <c r="R1098" s="4"/>
      <c r="S1098" s="4"/>
      <c r="T1098" s="4"/>
      <c r="U1098" s="4"/>
      <c r="V1098" s="4"/>
      <c r="W1098" s="4"/>
      <c r="X1098" s="4"/>
      <c r="Y1098" s="4"/>
      <c r="Z1098" s="4"/>
    </row>
    <row r="1099" spans="1:26" ht="15.75" customHeight="1" x14ac:dyDescent="0.2">
      <c r="A1099" s="1" t="s">
        <v>2189</v>
      </c>
      <c r="B1099" s="1" t="s">
        <v>2190</v>
      </c>
      <c r="C1099" s="5" t="str">
        <f ca="1">IFERROR(__xludf.DUMMYFUNCTION("REGEXEXTRACT($B1099, $E$2)"),"stockton")</f>
        <v>stockton</v>
      </c>
      <c r="E1099" s="4"/>
      <c r="F1099" s="4"/>
      <c r="G1099" s="4"/>
      <c r="H1099" s="4"/>
      <c r="I1099" s="4"/>
      <c r="J1099" s="4"/>
      <c r="K1099" s="4"/>
      <c r="L1099" s="4"/>
      <c r="M1099" s="4"/>
      <c r="N1099" s="4"/>
      <c r="O1099" s="4"/>
      <c r="P1099" s="4"/>
      <c r="Q1099" s="4"/>
      <c r="R1099" s="4"/>
      <c r="S1099" s="4"/>
      <c r="T1099" s="4"/>
      <c r="U1099" s="4"/>
      <c r="V1099" s="4"/>
      <c r="W1099" s="4"/>
      <c r="X1099" s="4"/>
      <c r="Y1099" s="4"/>
      <c r="Z1099" s="4"/>
    </row>
    <row r="1100" spans="1:26" ht="15.75" customHeight="1" x14ac:dyDescent="0.2">
      <c r="A1100" s="1" t="s">
        <v>2191</v>
      </c>
      <c r="B1100" s="1" t="s">
        <v>2192</v>
      </c>
      <c r="C1100" s="5" t="str">
        <f ca="1">IFERROR(__xludf.DUMMYFUNCTION("REGEXEXTRACT($B1100, $E$2)"),"stonehill")</f>
        <v>stonehill</v>
      </c>
      <c r="E1100" s="4"/>
      <c r="F1100" s="4"/>
      <c r="G1100" s="4"/>
      <c r="H1100" s="4"/>
      <c r="I1100" s="4"/>
      <c r="J1100" s="4"/>
      <c r="K1100" s="4"/>
      <c r="L1100" s="4"/>
      <c r="M1100" s="4"/>
      <c r="N1100" s="4"/>
      <c r="O1100" s="4"/>
      <c r="P1100" s="4"/>
      <c r="Q1100" s="4"/>
      <c r="R1100" s="4"/>
      <c r="S1100" s="4"/>
      <c r="T1100" s="4"/>
      <c r="U1100" s="4"/>
      <c r="V1100" s="4"/>
      <c r="W1100" s="4"/>
      <c r="X1100" s="4"/>
      <c r="Y1100" s="4"/>
      <c r="Z1100" s="4"/>
    </row>
    <row r="1101" spans="1:26" ht="15.75" customHeight="1" x14ac:dyDescent="0.2">
      <c r="A1101" s="1" t="s">
        <v>2193</v>
      </c>
      <c r="B1101" s="1" t="s">
        <v>2194</v>
      </c>
      <c r="C1101" s="5" t="str">
        <f ca="1">IFERROR(__xludf.DUMMYFUNCTION("REGEXEXTRACT($B1101, $E$2)"),"suffolk")</f>
        <v>suffolk</v>
      </c>
      <c r="E1101" s="4"/>
      <c r="F1101" s="4"/>
      <c r="G1101" s="4"/>
      <c r="H1101" s="4"/>
      <c r="I1101" s="4"/>
      <c r="J1101" s="4"/>
      <c r="K1101" s="4"/>
      <c r="L1101" s="4"/>
      <c r="M1101" s="4"/>
      <c r="N1101" s="4"/>
      <c r="O1101" s="4"/>
      <c r="P1101" s="4"/>
      <c r="Q1101" s="4"/>
      <c r="R1101" s="4"/>
      <c r="S1101" s="4"/>
      <c r="T1101" s="4"/>
      <c r="U1101" s="4"/>
      <c r="V1101" s="4"/>
      <c r="W1101" s="4"/>
      <c r="X1101" s="4"/>
      <c r="Y1101" s="4"/>
      <c r="Z1101" s="4"/>
    </row>
    <row r="1102" spans="1:26" ht="15.75" customHeight="1" x14ac:dyDescent="0.2">
      <c r="A1102" s="1" t="s">
        <v>2195</v>
      </c>
      <c r="B1102" s="1" t="s">
        <v>2196</v>
      </c>
      <c r="C1102" s="5" t="str">
        <f ca="1">IFERROR(__xludf.DUMMYFUNCTION("REGEXEXTRACT($B1102, $E$2)"),"sulross")</f>
        <v>sulross</v>
      </c>
      <c r="E1102" s="4"/>
      <c r="F1102" s="4"/>
      <c r="G1102" s="4"/>
      <c r="H1102" s="4"/>
      <c r="I1102" s="4"/>
      <c r="J1102" s="4"/>
      <c r="K1102" s="4"/>
      <c r="L1102" s="4"/>
      <c r="M1102" s="4"/>
      <c r="N1102" s="4"/>
      <c r="O1102" s="4"/>
      <c r="P1102" s="4"/>
      <c r="Q1102" s="4"/>
      <c r="R1102" s="4"/>
      <c r="S1102" s="4"/>
      <c r="T1102" s="4"/>
      <c r="U1102" s="4"/>
      <c r="V1102" s="4"/>
      <c r="W1102" s="4"/>
      <c r="X1102" s="4"/>
      <c r="Y1102" s="4"/>
      <c r="Z1102" s="4"/>
    </row>
    <row r="1103" spans="1:26" ht="15.75" customHeight="1" x14ac:dyDescent="0.2">
      <c r="A1103" s="1" t="s">
        <v>2197</v>
      </c>
      <c r="B1103" s="1" t="s">
        <v>2198</v>
      </c>
      <c r="C1103" s="5" t="str">
        <f ca="1">IFERROR(__xludf.DUMMYFUNCTION("REGEXEXTRACT($B1103, $E$2)"),"skku")</f>
        <v>skku</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ht="15.75" customHeight="1" x14ac:dyDescent="0.2">
      <c r="A1104" s="1" t="s">
        <v>2199</v>
      </c>
      <c r="B1104" s="1" t="s">
        <v>2200</v>
      </c>
      <c r="C1104" s="5" t="str">
        <f ca="1">IFERROR(__xludf.DUMMYFUNCTION("REGEXEXTRACT($B1104, $E$2)"),"alfredstate")</f>
        <v>alfredstate</v>
      </c>
      <c r="E1104" s="4"/>
      <c r="F1104" s="4"/>
      <c r="G1104" s="4"/>
      <c r="H1104" s="4"/>
      <c r="I1104" s="4"/>
      <c r="J1104" s="4"/>
      <c r="K1104" s="4"/>
      <c r="L1104" s="4"/>
      <c r="M1104" s="4"/>
      <c r="N1104" s="4"/>
      <c r="O1104" s="4"/>
      <c r="P1104" s="4"/>
      <c r="Q1104" s="4"/>
      <c r="R1104" s="4"/>
      <c r="S1104" s="4"/>
      <c r="T1104" s="4"/>
      <c r="U1104" s="4"/>
      <c r="V1104" s="4"/>
      <c r="W1104" s="4"/>
      <c r="X1104" s="4"/>
      <c r="Y1104" s="4"/>
      <c r="Z1104" s="4"/>
    </row>
    <row r="1105" spans="1:26" ht="15.75" customHeight="1" x14ac:dyDescent="0.2">
      <c r="A1105" s="1" t="s">
        <v>2201</v>
      </c>
      <c r="B1105" s="1" t="s">
        <v>2202</v>
      </c>
      <c r="C1105" s="5" t="str">
        <f ca="1">IFERROR(__xludf.DUMMYFUNCTION("REGEXEXTRACT($B1105, $E$2)"),"binghamton")</f>
        <v>binghamton</v>
      </c>
      <c r="E1105" s="4"/>
      <c r="F1105" s="4"/>
      <c r="G1105" s="4"/>
      <c r="H1105" s="4"/>
      <c r="I1105" s="4"/>
      <c r="J1105" s="4"/>
      <c r="K1105" s="4"/>
      <c r="L1105" s="4"/>
      <c r="M1105" s="4"/>
      <c r="N1105" s="4"/>
      <c r="O1105" s="4"/>
      <c r="P1105" s="4"/>
      <c r="Q1105" s="4"/>
      <c r="R1105" s="4"/>
      <c r="S1105" s="4"/>
      <c r="T1105" s="4"/>
      <c r="U1105" s="4"/>
      <c r="V1105" s="4"/>
      <c r="W1105" s="4"/>
      <c r="X1105" s="4"/>
      <c r="Y1105" s="4"/>
      <c r="Z1105" s="4"/>
    </row>
    <row r="1106" spans="1:26" ht="15.75" customHeight="1" x14ac:dyDescent="0.2">
      <c r="A1106" s="1" t="s">
        <v>2203</v>
      </c>
      <c r="B1106" s="1" t="s">
        <v>2204</v>
      </c>
      <c r="C1106" s="5" t="str">
        <f ca="1">IFERROR(__xludf.DUMMYFUNCTION("REGEXEXTRACT($B1106, $E$2)"),"buffalostate")</f>
        <v>buffalostate</v>
      </c>
      <c r="E1106" s="4"/>
      <c r="F1106" s="4"/>
      <c r="G1106" s="4"/>
      <c r="H1106" s="4"/>
      <c r="I1106" s="4"/>
      <c r="J1106" s="4"/>
      <c r="K1106" s="4"/>
      <c r="L1106" s="4"/>
      <c r="M1106" s="4"/>
      <c r="N1106" s="4"/>
      <c r="O1106" s="4"/>
      <c r="P1106" s="4"/>
      <c r="Q1106" s="4"/>
      <c r="R1106" s="4"/>
      <c r="S1106" s="4"/>
      <c r="T1106" s="4"/>
      <c r="U1106" s="4"/>
      <c r="V1106" s="4"/>
      <c r="W1106" s="4"/>
      <c r="X1106" s="4"/>
      <c r="Y1106" s="4"/>
      <c r="Z1106" s="4"/>
    </row>
    <row r="1107" spans="1:26" ht="15.75" customHeight="1" x14ac:dyDescent="0.2">
      <c r="A1107" s="1" t="s">
        <v>2205</v>
      </c>
      <c r="B1107" s="1" t="s">
        <v>2206</v>
      </c>
      <c r="C1107" s="5" t="str">
        <f ca="1">IFERROR(__xludf.DUMMYFUNCTION("REGEXEXTRACT($B1107, $E$2)"),"cobleskill")</f>
        <v>cobleskill</v>
      </c>
      <c r="E1107" s="4"/>
      <c r="F1107" s="4"/>
      <c r="G1107" s="4"/>
      <c r="H1107" s="4"/>
      <c r="I1107" s="4"/>
      <c r="J1107" s="4"/>
      <c r="K1107" s="4"/>
      <c r="L1107" s="4"/>
      <c r="M1107" s="4"/>
      <c r="N1107" s="4"/>
      <c r="O1107" s="4"/>
      <c r="P1107" s="4"/>
      <c r="Q1107" s="4"/>
      <c r="R1107" s="4"/>
      <c r="S1107" s="4"/>
      <c r="T1107" s="4"/>
      <c r="U1107" s="4"/>
      <c r="V1107" s="4"/>
      <c r="W1107" s="4"/>
      <c r="X1107" s="4"/>
      <c r="Y1107" s="4"/>
      <c r="Z1107" s="4"/>
    </row>
    <row r="1108" spans="1:26" ht="15.75" customHeight="1" x14ac:dyDescent="0.2">
      <c r="A1108" s="1" t="s">
        <v>2207</v>
      </c>
      <c r="B1108" s="1" t="s">
        <v>2208</v>
      </c>
      <c r="C1108" s="5" t="str">
        <f ca="1">IFERROR(__xludf.DUMMYFUNCTION("REGEXEXTRACT($B1108, $E$2)"),"brockport")</f>
        <v>brockport</v>
      </c>
      <c r="E1108" s="4"/>
      <c r="F1108" s="4"/>
      <c r="G1108" s="4"/>
      <c r="H1108" s="4"/>
      <c r="I1108" s="4"/>
      <c r="J1108" s="4"/>
      <c r="K1108" s="4"/>
      <c r="L1108" s="4"/>
      <c r="M1108" s="4"/>
      <c r="N1108" s="4"/>
      <c r="O1108" s="4"/>
      <c r="P1108" s="4"/>
      <c r="Q1108" s="4"/>
      <c r="R1108" s="4"/>
      <c r="S1108" s="4"/>
      <c r="T1108" s="4"/>
      <c r="U1108" s="4"/>
      <c r="V1108" s="4"/>
      <c r="W1108" s="4"/>
      <c r="X1108" s="4"/>
      <c r="Y1108" s="4"/>
      <c r="Z1108" s="4"/>
    </row>
    <row r="1109" spans="1:26" ht="15.75" customHeight="1" x14ac:dyDescent="0.2">
      <c r="A1109" s="1" t="s">
        <v>2209</v>
      </c>
      <c r="B1109" s="1" t="s">
        <v>2210</v>
      </c>
      <c r="C1109" s="5" t="str">
        <f ca="1">IFERROR(__xludf.DUMMYFUNCTION("REGEXEXTRACT($B1109, $E$2)"),"esf")</f>
        <v>esf</v>
      </c>
      <c r="E1109" s="4"/>
      <c r="F1109" s="4"/>
      <c r="G1109" s="4"/>
      <c r="H1109" s="4"/>
      <c r="I1109" s="4"/>
      <c r="J1109" s="4"/>
      <c r="K1109" s="4"/>
      <c r="L1109" s="4"/>
      <c r="M1109" s="4"/>
      <c r="N1109" s="4"/>
      <c r="O1109" s="4"/>
      <c r="P1109" s="4"/>
      <c r="Q1109" s="4"/>
      <c r="R1109" s="4"/>
      <c r="S1109" s="4"/>
      <c r="T1109" s="4"/>
      <c r="U1109" s="4"/>
      <c r="V1109" s="4"/>
      <c r="W1109" s="4"/>
      <c r="X1109" s="4"/>
      <c r="Y1109" s="4"/>
      <c r="Z1109" s="4"/>
    </row>
    <row r="1110" spans="1:26" ht="15.75" customHeight="1" x14ac:dyDescent="0.2">
      <c r="A1110" s="1" t="s">
        <v>2211</v>
      </c>
      <c r="B1110" s="1" t="s">
        <v>2212</v>
      </c>
      <c r="C1110" s="5" t="str">
        <f ca="1">IFERROR(__xludf.DUMMYFUNCTION("REGEXEXTRACT($B1110, $E$2)"),"geneseo")</f>
        <v>geneseo</v>
      </c>
      <c r="E1110" s="4"/>
      <c r="F1110" s="4"/>
      <c r="G1110" s="4"/>
      <c r="H1110" s="4"/>
      <c r="I1110" s="4"/>
      <c r="J1110" s="4"/>
      <c r="K1110" s="4"/>
      <c r="L1110" s="4"/>
      <c r="M1110" s="4"/>
      <c r="N1110" s="4"/>
      <c r="O1110" s="4"/>
      <c r="P1110" s="4"/>
      <c r="Q1110" s="4"/>
      <c r="R1110" s="4"/>
      <c r="S1110" s="4"/>
      <c r="T1110" s="4"/>
      <c r="U1110" s="4"/>
      <c r="V1110" s="4"/>
      <c r="W1110" s="4"/>
      <c r="X1110" s="4"/>
      <c r="Y1110" s="4"/>
      <c r="Z1110" s="4"/>
    </row>
    <row r="1111" spans="1:26" ht="15.75" customHeight="1" x14ac:dyDescent="0.2">
      <c r="A1111" s="1" t="s">
        <v>2213</v>
      </c>
      <c r="B1111" s="1" t="s">
        <v>2214</v>
      </c>
      <c r="C1111" s="5" t="str">
        <f ca="1">IFERROR(__xludf.DUMMYFUNCTION("REGEXEXTRACT($B1111, $E$2)"),"oldwestbury")</f>
        <v>oldwestbury</v>
      </c>
      <c r="E1111" s="4"/>
      <c r="F1111" s="4"/>
      <c r="G1111" s="4"/>
      <c r="H1111" s="4"/>
      <c r="I1111" s="4"/>
      <c r="J1111" s="4"/>
      <c r="K1111" s="4"/>
      <c r="L1111" s="4"/>
      <c r="M1111" s="4"/>
      <c r="N1111" s="4"/>
      <c r="O1111" s="4"/>
      <c r="P1111" s="4"/>
      <c r="Q1111" s="4"/>
      <c r="R1111" s="4"/>
      <c r="S1111" s="4"/>
      <c r="T1111" s="4"/>
      <c r="U1111" s="4"/>
      <c r="V1111" s="4"/>
      <c r="W1111" s="4"/>
      <c r="X1111" s="4"/>
      <c r="Y1111" s="4"/>
      <c r="Z1111" s="4"/>
    </row>
    <row r="1112" spans="1:26" ht="15.75" customHeight="1" x14ac:dyDescent="0.2">
      <c r="A1112" s="1" t="s">
        <v>2215</v>
      </c>
      <c r="B1112" s="1" t="s">
        <v>2216</v>
      </c>
      <c r="C1112" s="5" t="str">
        <f ca="1">IFERROR(__xludf.DUMMYFUNCTION("REGEXEXTRACT($B1112, $E$2)"),"oneonta")</f>
        <v>oneonta</v>
      </c>
      <c r="E1112" s="4"/>
      <c r="F1112" s="4"/>
      <c r="G1112" s="4"/>
      <c r="H1112" s="4"/>
      <c r="I1112" s="4"/>
      <c r="J1112" s="4"/>
      <c r="K1112" s="4"/>
      <c r="L1112" s="4"/>
      <c r="M1112" s="4"/>
      <c r="N1112" s="4"/>
      <c r="O1112" s="4"/>
      <c r="P1112" s="4"/>
      <c r="Q1112" s="4"/>
      <c r="R1112" s="4"/>
      <c r="S1112" s="4"/>
      <c r="T1112" s="4"/>
      <c r="U1112" s="4"/>
      <c r="V1112" s="4"/>
      <c r="W1112" s="4"/>
      <c r="X1112" s="4"/>
      <c r="Y1112" s="4"/>
      <c r="Z1112" s="4"/>
    </row>
    <row r="1113" spans="1:26" ht="15.75" customHeight="1" x14ac:dyDescent="0.2">
      <c r="A1113" s="1" t="s">
        <v>2217</v>
      </c>
      <c r="B1113" s="1" t="s">
        <v>2218</v>
      </c>
      <c r="C1113" s="5" t="str">
        <f ca="1">IFERROR(__xludf.DUMMYFUNCTION("REGEXEXTRACT($B1113, $E$2)"),"canton")</f>
        <v>canton</v>
      </c>
      <c r="E1113" s="4"/>
      <c r="F1113" s="4"/>
      <c r="G1113" s="4"/>
      <c r="H1113" s="4"/>
      <c r="I1113" s="4"/>
      <c r="J1113" s="4"/>
      <c r="K1113" s="4"/>
      <c r="L1113" s="4"/>
      <c r="M1113" s="4"/>
      <c r="N1113" s="4"/>
      <c r="O1113" s="4"/>
      <c r="P1113" s="4"/>
      <c r="Q1113" s="4"/>
      <c r="R1113" s="4"/>
      <c r="S1113" s="4"/>
      <c r="T1113" s="4"/>
      <c r="U1113" s="4"/>
      <c r="V1113" s="4"/>
      <c r="W1113" s="4"/>
      <c r="X1113" s="4"/>
      <c r="Y1113" s="4"/>
      <c r="Z1113" s="4"/>
    </row>
    <row r="1114" spans="1:26" ht="15.75" customHeight="1" x14ac:dyDescent="0.2">
      <c r="A1114" s="1" t="s">
        <v>2219</v>
      </c>
      <c r="B1114" s="1" t="s">
        <v>2220</v>
      </c>
      <c r="C1114" s="5" t="str">
        <f ca="1">IFERROR(__xludf.DUMMYFUNCTION("REGEXEXTRACT($B1114, $E$2)"),"cortland")</f>
        <v>cortland</v>
      </c>
      <c r="E1114" s="4"/>
      <c r="F1114" s="4"/>
      <c r="G1114" s="4"/>
      <c r="H1114" s="4"/>
      <c r="I1114" s="4"/>
      <c r="J1114" s="4"/>
      <c r="K1114" s="4"/>
      <c r="L1114" s="4"/>
      <c r="M1114" s="4"/>
      <c r="N1114" s="4"/>
      <c r="O1114" s="4"/>
      <c r="P1114" s="4"/>
      <c r="Q1114" s="4"/>
      <c r="R1114" s="4"/>
      <c r="S1114" s="4"/>
      <c r="T1114" s="4"/>
      <c r="U1114" s="4"/>
      <c r="V1114" s="4"/>
      <c r="W1114" s="4"/>
      <c r="X1114" s="4"/>
      <c r="Y1114" s="4"/>
      <c r="Z1114" s="4"/>
    </row>
    <row r="1115" spans="1:26" ht="15.75" customHeight="1" x14ac:dyDescent="0.2">
      <c r="A1115" s="1" t="s">
        <v>2221</v>
      </c>
      <c r="B1115" s="1" t="s">
        <v>2222</v>
      </c>
      <c r="C1115" s="5" t="str">
        <f ca="1">IFERROR(__xludf.DUMMYFUNCTION("REGEXEXTRACT($B1115, $E$2)"),"delhi")</f>
        <v>delhi</v>
      </c>
      <c r="E1115" s="4"/>
      <c r="F1115" s="4"/>
      <c r="G1115" s="4"/>
      <c r="H1115" s="4"/>
      <c r="I1115" s="4"/>
      <c r="J1115" s="4"/>
      <c r="K1115" s="4"/>
      <c r="L1115" s="4"/>
      <c r="M1115" s="4"/>
      <c r="N1115" s="4"/>
      <c r="O1115" s="4"/>
      <c r="P1115" s="4"/>
      <c r="Q1115" s="4"/>
      <c r="R1115" s="4"/>
      <c r="S1115" s="4"/>
      <c r="T1115" s="4"/>
      <c r="U1115" s="4"/>
      <c r="V1115" s="4"/>
      <c r="W1115" s="4"/>
      <c r="X1115" s="4"/>
      <c r="Y1115" s="4"/>
      <c r="Z1115" s="4"/>
    </row>
    <row r="1116" spans="1:26" ht="15.75" customHeight="1" x14ac:dyDescent="0.2">
      <c r="A1116" s="1" t="s">
        <v>2223</v>
      </c>
      <c r="B1116" s="1" t="s">
        <v>2224</v>
      </c>
      <c r="C1116" s="5" t="str">
        <f ca="1">IFERROR(__xludf.DUMMYFUNCTION("REGEXEXTRACT($B1116, $E$2)"),"esc")</f>
        <v>esc</v>
      </c>
      <c r="E1116" s="4"/>
      <c r="F1116" s="4"/>
      <c r="G1116" s="4"/>
      <c r="H1116" s="4"/>
      <c r="I1116" s="4"/>
      <c r="J1116" s="4"/>
      <c r="K1116" s="4"/>
      <c r="L1116" s="4"/>
      <c r="M1116" s="4"/>
      <c r="N1116" s="4"/>
      <c r="O1116" s="4"/>
      <c r="P1116" s="4"/>
      <c r="Q1116" s="4"/>
      <c r="R1116" s="4"/>
      <c r="S1116" s="4"/>
      <c r="T1116" s="4"/>
      <c r="U1116" s="4"/>
      <c r="V1116" s="4"/>
      <c r="W1116" s="4"/>
      <c r="X1116" s="4"/>
      <c r="Y1116" s="4"/>
      <c r="Z1116" s="4"/>
    </row>
    <row r="1117" spans="1:26" ht="15.75" customHeight="1" x14ac:dyDescent="0.2">
      <c r="A1117" s="1" t="s">
        <v>2225</v>
      </c>
      <c r="B1117" s="1" t="s">
        <v>2226</v>
      </c>
      <c r="C1117" s="5" t="str">
        <f ca="1">IFERROR(__xludf.DUMMYFUNCTION("REGEXEXTRACT($B1117, $E$2)"),"farmingdale")</f>
        <v>farmingdale</v>
      </c>
      <c r="E1117" s="4"/>
      <c r="F1117" s="4"/>
      <c r="G1117" s="4"/>
      <c r="H1117" s="4"/>
      <c r="I1117" s="4"/>
      <c r="J1117" s="4"/>
      <c r="K1117" s="4"/>
      <c r="L1117" s="4"/>
      <c r="M1117" s="4"/>
      <c r="N1117" s="4"/>
      <c r="O1117" s="4"/>
      <c r="P1117" s="4"/>
      <c r="Q1117" s="4"/>
      <c r="R1117" s="4"/>
      <c r="S1117" s="4"/>
      <c r="T1117" s="4"/>
      <c r="U1117" s="4"/>
      <c r="V1117" s="4"/>
      <c r="W1117" s="4"/>
      <c r="X1117" s="4"/>
      <c r="Y1117" s="4"/>
      <c r="Z1117" s="4"/>
    </row>
    <row r="1118" spans="1:26" ht="15.75" customHeight="1" x14ac:dyDescent="0.2">
      <c r="A1118" s="1" t="s">
        <v>2227</v>
      </c>
      <c r="B1118" s="1" t="s">
        <v>2228</v>
      </c>
      <c r="C1118" s="5" t="str">
        <f ca="1">IFERROR(__xludf.DUMMYFUNCTION("REGEXEXTRACT($B1118, $E$2)"),"fredonia")</f>
        <v>fredonia</v>
      </c>
      <c r="E1118" s="4"/>
      <c r="F1118" s="4"/>
      <c r="G1118" s="4"/>
      <c r="H1118" s="4"/>
      <c r="I1118" s="4"/>
      <c r="J1118" s="4"/>
      <c r="K1118" s="4"/>
      <c r="L1118" s="4"/>
      <c r="M1118" s="4"/>
      <c r="N1118" s="4"/>
      <c r="O1118" s="4"/>
      <c r="P1118" s="4"/>
      <c r="Q1118" s="4"/>
      <c r="R1118" s="4"/>
      <c r="S1118" s="4"/>
      <c r="T1118" s="4"/>
      <c r="U1118" s="4"/>
      <c r="V1118" s="4"/>
      <c r="W1118" s="4"/>
      <c r="X1118" s="4"/>
      <c r="Y1118" s="4"/>
      <c r="Z1118" s="4"/>
    </row>
    <row r="1119" spans="1:26" ht="15.75" customHeight="1" x14ac:dyDescent="0.2">
      <c r="A1119" s="1" t="s">
        <v>2229</v>
      </c>
      <c r="B1119" s="1" t="s">
        <v>2230</v>
      </c>
      <c r="C1119" s="5" t="str">
        <f ca="1">IFERROR(__xludf.DUMMYFUNCTION("REGEXEXTRACT($B1119, $E$2)"),"sunymaritime")</f>
        <v>sunymaritime</v>
      </c>
      <c r="E1119" s="4"/>
      <c r="F1119" s="4"/>
      <c r="G1119" s="4"/>
      <c r="H1119" s="4"/>
      <c r="I1119" s="4"/>
      <c r="J1119" s="4"/>
      <c r="K1119" s="4"/>
      <c r="L1119" s="4"/>
      <c r="M1119" s="4"/>
      <c r="N1119" s="4"/>
      <c r="O1119" s="4"/>
      <c r="P1119" s="4"/>
      <c r="Q1119" s="4"/>
      <c r="R1119" s="4"/>
      <c r="S1119" s="4"/>
      <c r="T1119" s="4"/>
      <c r="U1119" s="4"/>
      <c r="V1119" s="4"/>
      <c r="W1119" s="4"/>
      <c r="X1119" s="4"/>
      <c r="Y1119" s="4"/>
      <c r="Z1119" s="4"/>
    </row>
    <row r="1120" spans="1:26" ht="15.75" customHeight="1" x14ac:dyDescent="0.2">
      <c r="A1120" s="1" t="s">
        <v>2231</v>
      </c>
      <c r="B1120" s="1" t="s">
        <v>2232</v>
      </c>
      <c r="C1120" s="5" t="str">
        <f ca="1">IFERROR(__xludf.DUMMYFUNCTION("REGEXEXTRACT($B1120, $E$2)"),"morrisville")</f>
        <v>morrisville</v>
      </c>
      <c r="E1120" s="4"/>
      <c r="F1120" s="4"/>
      <c r="G1120" s="4"/>
      <c r="H1120" s="4"/>
      <c r="I1120" s="4"/>
      <c r="J1120" s="4"/>
      <c r="K1120" s="4"/>
      <c r="L1120" s="4"/>
      <c r="M1120" s="4"/>
      <c r="N1120" s="4"/>
      <c r="O1120" s="4"/>
      <c r="P1120" s="4"/>
      <c r="Q1120" s="4"/>
      <c r="R1120" s="4"/>
      <c r="S1120" s="4"/>
      <c r="T1120" s="4"/>
      <c r="U1120" s="4"/>
      <c r="V1120" s="4"/>
      <c r="W1120" s="4"/>
      <c r="X1120" s="4"/>
      <c r="Y1120" s="4"/>
      <c r="Z1120" s="4"/>
    </row>
    <row r="1121" spans="1:26" ht="15.75" customHeight="1" x14ac:dyDescent="0.2">
      <c r="A1121" s="1" t="s">
        <v>2233</v>
      </c>
      <c r="B1121" s="1" t="s">
        <v>2234</v>
      </c>
      <c r="C1121" s="5" t="str">
        <f ca="1">IFERROR(__xludf.DUMMYFUNCTION("REGEXEXTRACT($B1121, $E$2)"),"newpaltz")</f>
        <v>newpaltz</v>
      </c>
      <c r="E1121" s="4"/>
      <c r="F1121" s="4"/>
      <c r="G1121" s="4"/>
      <c r="H1121" s="4"/>
      <c r="I1121" s="4"/>
      <c r="J1121" s="4"/>
      <c r="K1121" s="4"/>
      <c r="L1121" s="4"/>
      <c r="M1121" s="4"/>
      <c r="N1121" s="4"/>
      <c r="O1121" s="4"/>
      <c r="P1121" s="4"/>
      <c r="Q1121" s="4"/>
      <c r="R1121" s="4"/>
      <c r="S1121" s="4"/>
      <c r="T1121" s="4"/>
      <c r="U1121" s="4"/>
      <c r="V1121" s="4"/>
      <c r="W1121" s="4"/>
      <c r="X1121" s="4"/>
      <c r="Y1121" s="4"/>
      <c r="Z1121" s="4"/>
    </row>
    <row r="1122" spans="1:26" ht="15.75" customHeight="1" x14ac:dyDescent="0.2">
      <c r="A1122" s="1" t="s">
        <v>2235</v>
      </c>
      <c r="B1122" s="1" t="s">
        <v>2236</v>
      </c>
      <c r="C1122" s="5" t="str">
        <f ca="1">IFERROR(__xludf.DUMMYFUNCTION("REGEXEXTRACT($B1122, $E$2)"),"oswego")</f>
        <v>oswego</v>
      </c>
      <c r="E1122" s="4"/>
      <c r="F1122" s="4"/>
      <c r="G1122" s="4"/>
      <c r="H1122" s="4"/>
      <c r="I1122" s="4"/>
      <c r="J1122" s="4"/>
      <c r="K1122" s="4"/>
      <c r="L1122" s="4"/>
      <c r="M1122" s="4"/>
      <c r="N1122" s="4"/>
      <c r="O1122" s="4"/>
      <c r="P1122" s="4"/>
      <c r="Q1122" s="4"/>
      <c r="R1122" s="4"/>
      <c r="S1122" s="4"/>
      <c r="T1122" s="4"/>
      <c r="U1122" s="4"/>
      <c r="V1122" s="4"/>
      <c r="W1122" s="4"/>
      <c r="X1122" s="4"/>
      <c r="Y1122" s="4"/>
      <c r="Z1122" s="4"/>
    </row>
    <row r="1123" spans="1:26" ht="15.75" customHeight="1" x14ac:dyDescent="0.2">
      <c r="A1123" s="1" t="s">
        <v>2237</v>
      </c>
      <c r="B1123" s="1" t="s">
        <v>2238</v>
      </c>
      <c r="C1123" s="5" t="str">
        <f ca="1">IFERROR(__xludf.DUMMYFUNCTION("REGEXEXTRACT($B1123, $E$2)"),"plattsburgh")</f>
        <v>plattsburgh</v>
      </c>
      <c r="E1123" s="4"/>
      <c r="F1123" s="4"/>
      <c r="G1123" s="4"/>
      <c r="H1123" s="4"/>
      <c r="I1123" s="4"/>
      <c r="J1123" s="4"/>
      <c r="K1123" s="4"/>
      <c r="L1123" s="4"/>
      <c r="M1123" s="4"/>
      <c r="N1123" s="4"/>
      <c r="O1123" s="4"/>
      <c r="P1123" s="4"/>
      <c r="Q1123" s="4"/>
      <c r="R1123" s="4"/>
      <c r="S1123" s="4"/>
      <c r="T1123" s="4"/>
      <c r="U1123" s="4"/>
      <c r="V1123" s="4"/>
      <c r="W1123" s="4"/>
      <c r="X1123" s="4"/>
      <c r="Y1123" s="4"/>
      <c r="Z1123" s="4"/>
    </row>
    <row r="1124" spans="1:26" ht="15.75" customHeight="1" x14ac:dyDescent="0.2">
      <c r="A1124" s="1" t="s">
        <v>2239</v>
      </c>
      <c r="B1124" s="1" t="s">
        <v>2240</v>
      </c>
      <c r="C1124" s="5" t="str">
        <f ca="1">IFERROR(__xludf.DUMMYFUNCTION("REGEXEXTRACT($B1124, $E$2)"),"sunyit")</f>
        <v>sunyit</v>
      </c>
      <c r="E1124" s="4"/>
      <c r="F1124" s="4"/>
      <c r="G1124" s="4"/>
      <c r="H1124" s="4"/>
      <c r="I1124" s="4"/>
      <c r="J1124" s="4"/>
      <c r="K1124" s="4"/>
      <c r="L1124" s="4"/>
      <c r="M1124" s="4"/>
      <c r="N1124" s="4"/>
      <c r="O1124" s="4"/>
      <c r="P1124" s="4"/>
      <c r="Q1124" s="4"/>
      <c r="R1124" s="4"/>
      <c r="S1124" s="4"/>
      <c r="T1124" s="4"/>
      <c r="U1124" s="4"/>
      <c r="V1124" s="4"/>
      <c r="W1124" s="4"/>
      <c r="X1124" s="4"/>
      <c r="Y1124" s="4"/>
      <c r="Z1124" s="4"/>
    </row>
    <row r="1125" spans="1:26" ht="15.75" customHeight="1" x14ac:dyDescent="0.2">
      <c r="A1125" s="1" t="s">
        <v>2241</v>
      </c>
      <c r="B1125" s="1" t="s">
        <v>2242</v>
      </c>
      <c r="C1125" s="5" t="str">
        <f ca="1">IFERROR(__xludf.DUMMYFUNCTION("REGEXEXTRACT($B1125, $E$2)"),"potsdam")</f>
        <v>potsdam</v>
      </c>
      <c r="E1125" s="4"/>
      <c r="F1125" s="4"/>
      <c r="G1125" s="4"/>
      <c r="H1125" s="4"/>
      <c r="I1125" s="4"/>
      <c r="J1125" s="4"/>
      <c r="K1125" s="4"/>
      <c r="L1125" s="4"/>
      <c r="M1125" s="4"/>
      <c r="N1125" s="4"/>
      <c r="O1125" s="4"/>
      <c r="P1125" s="4"/>
      <c r="Q1125" s="4"/>
      <c r="R1125" s="4"/>
      <c r="S1125" s="4"/>
      <c r="T1125" s="4"/>
      <c r="U1125" s="4"/>
      <c r="V1125" s="4"/>
      <c r="W1125" s="4"/>
      <c r="X1125" s="4"/>
      <c r="Y1125" s="4"/>
      <c r="Z1125" s="4"/>
    </row>
    <row r="1126" spans="1:26" ht="15.75" customHeight="1" x14ac:dyDescent="0.2">
      <c r="A1126" s="1" t="s">
        <v>2243</v>
      </c>
      <c r="B1126" s="1" t="s">
        <v>2244</v>
      </c>
      <c r="C1126" s="5" t="str">
        <f ca="1">IFERROR(__xludf.DUMMYFUNCTION("REGEXEXTRACT($B1126, $E$2)"),"purchase")</f>
        <v>purchase</v>
      </c>
      <c r="E1126" s="4"/>
      <c r="F1126" s="4"/>
      <c r="G1126" s="4"/>
      <c r="H1126" s="4"/>
      <c r="I1126" s="4"/>
      <c r="J1126" s="4"/>
      <c r="K1126" s="4"/>
      <c r="L1126" s="4"/>
      <c r="M1126" s="4"/>
      <c r="N1126" s="4"/>
      <c r="O1126" s="4"/>
      <c r="P1126" s="4"/>
      <c r="Q1126" s="4"/>
      <c r="R1126" s="4"/>
      <c r="S1126" s="4"/>
      <c r="T1126" s="4"/>
      <c r="U1126" s="4"/>
      <c r="V1126" s="4"/>
      <c r="W1126" s="4"/>
      <c r="X1126" s="4"/>
      <c r="Y1126" s="4"/>
      <c r="Z1126" s="4"/>
    </row>
    <row r="1127" spans="1:26" ht="15.75" customHeight="1" x14ac:dyDescent="0.2">
      <c r="A1127" s="1" t="s">
        <v>2245</v>
      </c>
      <c r="B1127" s="1" t="s">
        <v>2246</v>
      </c>
      <c r="C1127" s="5" t="str">
        <f ca="1">IFERROR(__xludf.DUMMYFUNCTION("REGEXEXTRACT($B1127, $E$2)"),"stonybrook")</f>
        <v>stonybrook</v>
      </c>
      <c r="E1127" s="4"/>
      <c r="F1127" s="4"/>
      <c r="G1127" s="4"/>
      <c r="H1127" s="4"/>
      <c r="I1127" s="4"/>
      <c r="J1127" s="4"/>
      <c r="K1127" s="4"/>
      <c r="L1127" s="4"/>
      <c r="M1127" s="4"/>
      <c r="N1127" s="4"/>
      <c r="O1127" s="4"/>
      <c r="P1127" s="4"/>
      <c r="Q1127" s="4"/>
      <c r="R1127" s="4"/>
      <c r="S1127" s="4"/>
      <c r="T1127" s="4"/>
      <c r="U1127" s="4"/>
      <c r="V1127" s="4"/>
      <c r="W1127" s="4"/>
      <c r="X1127" s="4"/>
      <c r="Y1127" s="4"/>
      <c r="Z1127" s="4"/>
    </row>
    <row r="1128" spans="1:26" ht="15.75" customHeight="1" x14ac:dyDescent="0.2">
      <c r="A1128" s="1" t="s">
        <v>2247</v>
      </c>
      <c r="B1128" s="1" t="s">
        <v>2248</v>
      </c>
      <c r="C1128" s="5" t="str">
        <f ca="1">IFERROR(__xludf.DUMMYFUNCTION("REGEXEXTRACT($B1128, $E$2)"),"albany")</f>
        <v>albany</v>
      </c>
      <c r="E1128" s="4"/>
      <c r="F1128" s="4"/>
      <c r="G1128" s="4"/>
      <c r="H1128" s="4"/>
      <c r="I1128" s="4"/>
      <c r="J1128" s="4"/>
      <c r="K1128" s="4"/>
      <c r="L1128" s="4"/>
      <c r="M1128" s="4"/>
      <c r="N1128" s="4"/>
      <c r="O1128" s="4"/>
      <c r="P1128" s="4"/>
      <c r="Q1128" s="4"/>
      <c r="R1128" s="4"/>
      <c r="S1128" s="4"/>
      <c r="T1128" s="4"/>
      <c r="U1128" s="4"/>
      <c r="V1128" s="4"/>
      <c r="W1128" s="4"/>
      <c r="X1128" s="4"/>
      <c r="Y1128" s="4"/>
      <c r="Z1128" s="4"/>
    </row>
    <row r="1129" spans="1:26" ht="15.75" customHeight="1" x14ac:dyDescent="0.2">
      <c r="A1129" s="1" t="s">
        <v>2249</v>
      </c>
      <c r="B1129" s="1" t="s">
        <v>2250</v>
      </c>
      <c r="C1129" s="5" t="str">
        <f ca="1">IFERROR(__xludf.DUMMYFUNCTION("REGEXEXTRACT($B1129, $E$2)"),"buffalo")</f>
        <v>buffalo</v>
      </c>
      <c r="E1129" s="4"/>
      <c r="F1129" s="4"/>
      <c r="G1129" s="4"/>
      <c r="H1129" s="4"/>
      <c r="I1129" s="4"/>
      <c r="J1129" s="4"/>
      <c r="K1129" s="4"/>
      <c r="L1129" s="4"/>
      <c r="M1129" s="4"/>
      <c r="N1129" s="4"/>
      <c r="O1129" s="4"/>
      <c r="P1129" s="4"/>
      <c r="Q1129" s="4"/>
      <c r="R1129" s="4"/>
      <c r="S1129" s="4"/>
      <c r="T1129" s="4"/>
      <c r="U1129" s="4"/>
      <c r="V1129" s="4"/>
      <c r="W1129" s="4"/>
      <c r="X1129" s="4"/>
      <c r="Y1129" s="4"/>
      <c r="Z1129" s="4"/>
    </row>
    <row r="1130" spans="1:26" ht="15.75" customHeight="1" x14ac:dyDescent="0.2">
      <c r="A1130" s="1" t="s">
        <v>2251</v>
      </c>
      <c r="B1130" s="1" t="s">
        <v>2252</v>
      </c>
      <c r="C1130" s="5" t="str">
        <f ca="1">IFERROR(__xludf.DUMMYFUNCTION("REGEXEXTRACT($B1130, $E$2)"),"susqu")</f>
        <v>susqu</v>
      </c>
      <c r="E1130" s="4"/>
      <c r="F1130" s="4"/>
      <c r="G1130" s="4"/>
      <c r="H1130" s="4"/>
      <c r="I1130" s="4"/>
      <c r="J1130" s="4"/>
      <c r="K1130" s="4"/>
      <c r="L1130" s="4"/>
      <c r="M1130" s="4"/>
      <c r="N1130" s="4"/>
      <c r="O1130" s="4"/>
      <c r="P1130" s="4"/>
      <c r="Q1130" s="4"/>
      <c r="R1130" s="4"/>
      <c r="S1130" s="4"/>
      <c r="T1130" s="4"/>
      <c r="U1130" s="4"/>
      <c r="V1130" s="4"/>
      <c r="W1130" s="4"/>
      <c r="X1130" s="4"/>
      <c r="Y1130" s="4"/>
      <c r="Z1130" s="4"/>
    </row>
    <row r="1131" spans="1:26" ht="15.75" customHeight="1" x14ac:dyDescent="0.2">
      <c r="A1131" s="1" t="s">
        <v>2253</v>
      </c>
      <c r="B1131" s="1" t="s">
        <v>2254</v>
      </c>
      <c r="C1131" s="5" t="str">
        <f ca="1">IFERROR(__xludf.DUMMYFUNCTION("REGEXEXTRACT($B1131, $E$2)"),"swarthmore")</f>
        <v>swarthmore</v>
      </c>
      <c r="E1131" s="4"/>
      <c r="F1131" s="4"/>
      <c r="G1131" s="4"/>
      <c r="H1131" s="4"/>
      <c r="I1131" s="4"/>
      <c r="J1131" s="4"/>
      <c r="K1131" s="4"/>
      <c r="L1131" s="4"/>
      <c r="M1131" s="4"/>
      <c r="N1131" s="4"/>
      <c r="O1131" s="4"/>
      <c r="P1131" s="4"/>
      <c r="Q1131" s="4"/>
      <c r="R1131" s="4"/>
      <c r="S1131" s="4"/>
      <c r="T1131" s="4"/>
      <c r="U1131" s="4"/>
      <c r="V1131" s="4"/>
      <c r="W1131" s="4"/>
      <c r="X1131" s="4"/>
      <c r="Y1131" s="4"/>
      <c r="Z1131" s="4"/>
    </row>
    <row r="1132" spans="1:26" ht="15.75" customHeight="1" x14ac:dyDescent="0.2">
      <c r="A1132" s="1" t="s">
        <v>2255</v>
      </c>
      <c r="B1132" s="1" t="s">
        <v>2256</v>
      </c>
      <c r="C1132" s="5" t="str">
        <f ca="1">IFERROR(__xludf.DUMMYFUNCTION("REGEXEXTRACT($B1132, $E$2)"),"sbc")</f>
        <v>sbc</v>
      </c>
      <c r="E1132" s="4"/>
      <c r="F1132" s="4"/>
      <c r="G1132" s="4"/>
      <c r="H1132" s="4"/>
      <c r="I1132" s="4"/>
      <c r="J1132" s="4"/>
      <c r="K1132" s="4"/>
      <c r="L1132" s="4"/>
      <c r="M1132" s="4"/>
      <c r="N1132" s="4"/>
      <c r="O1132" s="4"/>
      <c r="P1132" s="4"/>
      <c r="Q1132" s="4"/>
      <c r="R1132" s="4"/>
      <c r="S1132" s="4"/>
      <c r="T1132" s="4"/>
      <c r="U1132" s="4"/>
      <c r="V1132" s="4"/>
      <c r="W1132" s="4"/>
      <c r="X1132" s="4"/>
      <c r="Y1132" s="4"/>
      <c r="Z1132" s="4"/>
    </row>
    <row r="1133" spans="1:26" ht="15.75" customHeight="1" x14ac:dyDescent="0.2">
      <c r="A1133" s="1" t="s">
        <v>2257</v>
      </c>
      <c r="B1133" s="1" t="s">
        <v>2258</v>
      </c>
      <c r="C1133" s="5" t="str">
        <f ca="1">IFERROR(__xludf.DUMMYFUNCTION("REGEXEXTRACT($B1133, $E$2)"),"syr")</f>
        <v>syr</v>
      </c>
      <c r="E1133" s="4"/>
      <c r="F1133" s="4"/>
      <c r="G1133" s="4"/>
      <c r="H1133" s="4"/>
      <c r="I1133" s="4"/>
      <c r="J1133" s="4"/>
      <c r="K1133" s="4"/>
      <c r="L1133" s="4"/>
      <c r="M1133" s="4"/>
      <c r="N1133" s="4"/>
      <c r="O1133" s="4"/>
      <c r="P1133" s="4"/>
      <c r="Q1133" s="4"/>
      <c r="R1133" s="4"/>
      <c r="S1133" s="4"/>
      <c r="T1133" s="4"/>
      <c r="U1133" s="4"/>
      <c r="V1133" s="4"/>
      <c r="W1133" s="4"/>
      <c r="X1133" s="4"/>
      <c r="Y1133" s="4"/>
      <c r="Z1133" s="4"/>
    </row>
    <row r="1134" spans="1:26" ht="15.75" customHeight="1" x14ac:dyDescent="0.2">
      <c r="A1134" s="1" t="s">
        <v>2259</v>
      </c>
      <c r="B1134" s="1" t="s">
        <v>2260</v>
      </c>
      <c r="C1134" s="5" t="str">
        <f ca="1">IFERROR(__xludf.DUMMYFUNCTION("REGEXEXTRACT($B1134, $E$2)"),"tabor")</f>
        <v>tabor</v>
      </c>
      <c r="E1134" s="4"/>
      <c r="F1134" s="4"/>
      <c r="G1134" s="4"/>
      <c r="H1134" s="4"/>
      <c r="I1134" s="4"/>
      <c r="J1134" s="4"/>
      <c r="K1134" s="4"/>
      <c r="L1134" s="4"/>
      <c r="M1134" s="4"/>
      <c r="N1134" s="4"/>
      <c r="O1134" s="4"/>
      <c r="P1134" s="4"/>
      <c r="Q1134" s="4"/>
      <c r="R1134" s="4"/>
      <c r="S1134" s="4"/>
      <c r="T1134" s="4"/>
      <c r="U1134" s="4"/>
      <c r="V1134" s="4"/>
      <c r="W1134" s="4"/>
      <c r="X1134" s="4"/>
      <c r="Y1134" s="4"/>
      <c r="Z1134" s="4"/>
    </row>
    <row r="1135" spans="1:26" ht="15.75" customHeight="1" x14ac:dyDescent="0.2">
      <c r="A1135" s="1" t="s">
        <v>2261</v>
      </c>
      <c r="B1135" s="1" t="s">
        <v>2262</v>
      </c>
      <c r="C1135" s="5" t="str">
        <f ca="1">IFERROR(__xludf.DUMMYFUNCTION("REGEXEXTRACT($B1135, $E$2)"),"talladega")</f>
        <v>talladega</v>
      </c>
      <c r="E1135" s="4"/>
      <c r="F1135" s="4"/>
      <c r="G1135" s="4"/>
      <c r="H1135" s="4"/>
      <c r="I1135" s="4"/>
      <c r="J1135" s="4"/>
      <c r="K1135" s="4"/>
      <c r="L1135" s="4"/>
      <c r="M1135" s="4"/>
      <c r="N1135" s="4"/>
      <c r="O1135" s="4"/>
      <c r="P1135" s="4"/>
      <c r="Q1135" s="4"/>
      <c r="R1135" s="4"/>
      <c r="S1135" s="4"/>
      <c r="T1135" s="4"/>
      <c r="U1135" s="4"/>
      <c r="V1135" s="4"/>
      <c r="W1135" s="4"/>
      <c r="X1135" s="4"/>
      <c r="Y1135" s="4"/>
      <c r="Z1135" s="4"/>
    </row>
    <row r="1136" spans="1:26" ht="15.75" customHeight="1" x14ac:dyDescent="0.2">
      <c r="A1136" s="1" t="s">
        <v>2263</v>
      </c>
      <c r="B1136" s="1" t="s">
        <v>2264</v>
      </c>
      <c r="C1136" s="5" t="str">
        <f ca="1">IFERROR(__xludf.DUMMYFUNCTION("REGEXEXTRACT($B1136, $E$2)"),"tarleton")</f>
        <v>tarleton</v>
      </c>
      <c r="E1136" s="4"/>
      <c r="F1136" s="4"/>
      <c r="G1136" s="4"/>
      <c r="H1136" s="4"/>
      <c r="I1136" s="4"/>
      <c r="J1136" s="4"/>
      <c r="K1136" s="4"/>
      <c r="L1136" s="4"/>
      <c r="M1136" s="4"/>
      <c r="N1136" s="4"/>
      <c r="O1136" s="4"/>
      <c r="P1136" s="4"/>
      <c r="Q1136" s="4"/>
      <c r="R1136" s="4"/>
      <c r="S1136" s="4"/>
      <c r="T1136" s="4"/>
      <c r="U1136" s="4"/>
      <c r="V1136" s="4"/>
      <c r="W1136" s="4"/>
      <c r="X1136" s="4"/>
      <c r="Y1136" s="4"/>
      <c r="Z1136" s="4"/>
    </row>
    <row r="1137" spans="1:26" ht="15.75" customHeight="1" x14ac:dyDescent="0.2">
      <c r="A1137" s="1" t="s">
        <v>2265</v>
      </c>
      <c r="B1137" s="1" t="s">
        <v>2266</v>
      </c>
      <c r="C1137" s="5" t="str">
        <f ca="1">IFERROR(__xludf.DUMMYFUNCTION("REGEXEXTRACT($B1137, $E$2)"),"taylor")</f>
        <v>taylor</v>
      </c>
      <c r="E1137" s="4"/>
      <c r="F1137" s="4"/>
      <c r="G1137" s="4"/>
      <c r="H1137" s="4"/>
      <c r="I1137" s="4"/>
      <c r="J1137" s="4"/>
      <c r="K1137" s="4"/>
      <c r="L1137" s="4"/>
      <c r="M1137" s="4"/>
      <c r="N1137" s="4"/>
      <c r="O1137" s="4"/>
      <c r="P1137" s="4"/>
      <c r="Q1137" s="4"/>
      <c r="R1137" s="4"/>
      <c r="S1137" s="4"/>
      <c r="T1137" s="4"/>
      <c r="U1137" s="4"/>
      <c r="V1137" s="4"/>
      <c r="W1137" s="4"/>
      <c r="X1137" s="4"/>
      <c r="Y1137" s="4"/>
      <c r="Z1137" s="4"/>
    </row>
    <row r="1138" spans="1:26" ht="15.75" customHeight="1" x14ac:dyDescent="0.2">
      <c r="A1138" s="1" t="s">
        <v>2267</v>
      </c>
      <c r="B1138" s="1" t="s">
        <v>2268</v>
      </c>
      <c r="C1138" s="5" t="str">
        <f ca="1">IFERROR(__xludf.DUMMYFUNCTION("REGEXEXTRACT($B1138, $E$2)"),"temple")</f>
        <v>temple</v>
      </c>
      <c r="E1138" s="4"/>
      <c r="F1138" s="4"/>
      <c r="G1138" s="4"/>
      <c r="H1138" s="4"/>
      <c r="I1138" s="4"/>
      <c r="J1138" s="4"/>
      <c r="K1138" s="4"/>
      <c r="L1138" s="4"/>
      <c r="M1138" s="4"/>
      <c r="N1138" s="4"/>
      <c r="O1138" s="4"/>
      <c r="P1138" s="4"/>
      <c r="Q1138" s="4"/>
      <c r="R1138" s="4"/>
      <c r="S1138" s="4"/>
      <c r="T1138" s="4"/>
      <c r="U1138" s="4"/>
      <c r="V1138" s="4"/>
      <c r="W1138" s="4"/>
      <c r="X1138" s="4"/>
      <c r="Y1138" s="4"/>
      <c r="Z1138" s="4"/>
    </row>
    <row r="1139" spans="1:26" ht="15.75" customHeight="1" x14ac:dyDescent="0.2">
      <c r="A1139" s="1" t="s">
        <v>2269</v>
      </c>
      <c r="B1139" s="1" t="s">
        <v>2270</v>
      </c>
      <c r="C1139" s="5" t="str">
        <f ca="1">IFERROR(__xludf.DUMMYFUNCTION("REGEXEXTRACT($B1139, $E$2)"),"tnstate")</f>
        <v>tnstate</v>
      </c>
      <c r="E1139" s="4"/>
      <c r="F1139" s="4"/>
      <c r="G1139" s="4"/>
      <c r="H1139" s="4"/>
      <c r="I1139" s="4"/>
      <c r="J1139" s="4"/>
      <c r="K1139" s="4"/>
      <c r="L1139" s="4"/>
      <c r="M1139" s="4"/>
      <c r="N1139" s="4"/>
      <c r="O1139" s="4"/>
      <c r="P1139" s="4"/>
      <c r="Q1139" s="4"/>
      <c r="R1139" s="4"/>
      <c r="S1139" s="4"/>
      <c r="T1139" s="4"/>
      <c r="U1139" s="4"/>
      <c r="V1139" s="4"/>
      <c r="W1139" s="4"/>
      <c r="X1139" s="4"/>
      <c r="Y1139" s="4"/>
      <c r="Z1139" s="4"/>
    </row>
    <row r="1140" spans="1:26" ht="15.75" customHeight="1" x14ac:dyDescent="0.2">
      <c r="A1140" s="1" t="s">
        <v>2271</v>
      </c>
      <c r="B1140" s="1" t="s">
        <v>2272</v>
      </c>
      <c r="C1140" s="5" t="str">
        <f ca="1">IFERROR(__xludf.DUMMYFUNCTION("REGEXEXTRACT($B1140, $E$2)"),"tntech")</f>
        <v>tntech</v>
      </c>
      <c r="E1140" s="4"/>
      <c r="F1140" s="4"/>
      <c r="G1140" s="4"/>
      <c r="H1140" s="4"/>
      <c r="I1140" s="4"/>
      <c r="J1140" s="4"/>
      <c r="K1140" s="4"/>
      <c r="L1140" s="4"/>
      <c r="M1140" s="4"/>
      <c r="N1140" s="4"/>
      <c r="O1140" s="4"/>
      <c r="P1140" s="4"/>
      <c r="Q1140" s="4"/>
      <c r="R1140" s="4"/>
      <c r="S1140" s="4"/>
      <c r="T1140" s="4"/>
      <c r="U1140" s="4"/>
      <c r="V1140" s="4"/>
      <c r="W1140" s="4"/>
      <c r="X1140" s="4"/>
      <c r="Y1140" s="4"/>
      <c r="Z1140" s="4"/>
    </row>
    <row r="1141" spans="1:26" ht="15.75" customHeight="1" x14ac:dyDescent="0.2">
      <c r="A1141" s="1" t="s">
        <v>2273</v>
      </c>
      <c r="B1141" s="1" t="s">
        <v>2274</v>
      </c>
      <c r="C1141" s="5" t="str">
        <f ca="1">IFERROR(__xludf.DUMMYFUNCTION("REGEXEXTRACT($B1141, $E$2)"),"tnwesleyan")</f>
        <v>tnwesleyan</v>
      </c>
      <c r="E1141" s="4"/>
      <c r="F1141" s="4"/>
      <c r="G1141" s="4"/>
      <c r="H1141" s="4"/>
      <c r="I1141" s="4"/>
      <c r="J1141" s="4"/>
      <c r="K1141" s="4"/>
      <c r="L1141" s="4"/>
      <c r="M1141" s="4"/>
      <c r="N1141" s="4"/>
      <c r="O1141" s="4"/>
      <c r="P1141" s="4"/>
      <c r="Q1141" s="4"/>
      <c r="R1141" s="4"/>
      <c r="S1141" s="4"/>
      <c r="T1141" s="4"/>
      <c r="U1141" s="4"/>
      <c r="V1141" s="4"/>
      <c r="W1141" s="4"/>
      <c r="X1141" s="4"/>
      <c r="Y1141" s="4"/>
      <c r="Z1141" s="4"/>
    </row>
    <row r="1142" spans="1:26" ht="15.75" customHeight="1" x14ac:dyDescent="0.2">
      <c r="A1142" s="1" t="s">
        <v>2275</v>
      </c>
      <c r="B1142" s="1" t="s">
        <v>2276</v>
      </c>
      <c r="C1142" s="5" t="str">
        <f ca="1">IFERROR(__xludf.DUMMYFUNCTION("REGEXEXTRACT($B1142, $E$2)"),"tamiu")</f>
        <v>tamiu</v>
      </c>
      <c r="E1142" s="4"/>
      <c r="F1142" s="4"/>
      <c r="G1142" s="4"/>
      <c r="H1142" s="4"/>
      <c r="I1142" s="4"/>
      <c r="J1142" s="4"/>
      <c r="K1142" s="4"/>
      <c r="L1142" s="4"/>
      <c r="M1142" s="4"/>
      <c r="N1142" s="4"/>
      <c r="O1142" s="4"/>
      <c r="P1142" s="4"/>
      <c r="Q1142" s="4"/>
      <c r="R1142" s="4"/>
      <c r="S1142" s="4"/>
      <c r="T1142" s="4"/>
      <c r="U1142" s="4"/>
      <c r="V1142" s="4"/>
      <c r="W1142" s="4"/>
      <c r="X1142" s="4"/>
      <c r="Y1142" s="4"/>
      <c r="Z1142" s="4"/>
    </row>
    <row r="1143" spans="1:26" ht="15.75" customHeight="1" x14ac:dyDescent="0.2">
      <c r="A1143" s="1" t="s">
        <v>2277</v>
      </c>
      <c r="B1143" s="1" t="s">
        <v>2278</v>
      </c>
      <c r="C1143" s="5" t="str">
        <f ca="1">IFERROR(__xludf.DUMMYFUNCTION("REGEXEXTRACT($B1143, $E$2)"),"tamu")</f>
        <v>tamu</v>
      </c>
      <c r="E1143" s="4"/>
      <c r="F1143" s="4"/>
      <c r="G1143" s="4"/>
      <c r="H1143" s="4"/>
      <c r="I1143" s="4"/>
      <c r="J1143" s="4"/>
      <c r="K1143" s="4"/>
      <c r="L1143" s="4"/>
      <c r="M1143" s="4"/>
      <c r="N1143" s="4"/>
      <c r="O1143" s="4"/>
      <c r="P1143" s="4"/>
      <c r="Q1143" s="4"/>
      <c r="R1143" s="4"/>
      <c r="S1143" s="4"/>
      <c r="T1143" s="4"/>
      <c r="U1143" s="4"/>
      <c r="V1143" s="4"/>
      <c r="W1143" s="4"/>
      <c r="X1143" s="4"/>
      <c r="Y1143" s="4"/>
      <c r="Z1143" s="4"/>
    </row>
    <row r="1144" spans="1:26" ht="15.75" customHeight="1" x14ac:dyDescent="0.2">
      <c r="A1144" s="1" t="s">
        <v>2279</v>
      </c>
      <c r="B1144" s="1" t="s">
        <v>2280</v>
      </c>
      <c r="C1144" s="5" t="str">
        <f ca="1">IFERROR(__xludf.DUMMYFUNCTION("REGEXEXTRACT($B1144, $E$2)"),"tamuc")</f>
        <v>tamuc</v>
      </c>
      <c r="E1144" s="4"/>
      <c r="F1144" s="4"/>
      <c r="G1144" s="4"/>
      <c r="H1144" s="4"/>
      <c r="I1144" s="4"/>
      <c r="J1144" s="4"/>
      <c r="K1144" s="4"/>
      <c r="L1144" s="4"/>
      <c r="M1144" s="4"/>
      <c r="N1144" s="4"/>
      <c r="O1144" s="4"/>
      <c r="P1144" s="4"/>
      <c r="Q1144" s="4"/>
      <c r="R1144" s="4"/>
      <c r="S1144" s="4"/>
      <c r="T1144" s="4"/>
      <c r="U1144" s="4"/>
      <c r="V1144" s="4"/>
      <c r="W1144" s="4"/>
      <c r="X1144" s="4"/>
      <c r="Y1144" s="4"/>
      <c r="Z1144" s="4"/>
    </row>
    <row r="1145" spans="1:26" ht="15.75" customHeight="1" x14ac:dyDescent="0.2">
      <c r="A1145" s="1" t="s">
        <v>2281</v>
      </c>
      <c r="B1145" s="1" t="s">
        <v>2282</v>
      </c>
      <c r="C1145" s="5" t="str">
        <f ca="1">IFERROR(__xludf.DUMMYFUNCTION("REGEXEXTRACT($B1145, $E$2)"),"tamucc")</f>
        <v>tamucc</v>
      </c>
      <c r="E1145" s="4"/>
      <c r="F1145" s="4"/>
      <c r="G1145" s="4"/>
      <c r="H1145" s="4"/>
      <c r="I1145" s="4"/>
      <c r="J1145" s="4"/>
      <c r="K1145" s="4"/>
      <c r="L1145" s="4"/>
      <c r="M1145" s="4"/>
      <c r="N1145" s="4"/>
      <c r="O1145" s="4"/>
      <c r="P1145" s="4"/>
      <c r="Q1145" s="4"/>
      <c r="R1145" s="4"/>
      <c r="S1145" s="4"/>
      <c r="T1145" s="4"/>
      <c r="U1145" s="4"/>
      <c r="V1145" s="4"/>
      <c r="W1145" s="4"/>
      <c r="X1145" s="4"/>
      <c r="Y1145" s="4"/>
      <c r="Z1145" s="4"/>
    </row>
    <row r="1146" spans="1:26" ht="15.75" customHeight="1" x14ac:dyDescent="0.2">
      <c r="A1146" s="1" t="s">
        <v>2283</v>
      </c>
      <c r="B1146" s="1" t="s">
        <v>2284</v>
      </c>
      <c r="C1146" s="5" t="str">
        <f ca="1">IFERROR(__xludf.DUMMYFUNCTION("REGEXEXTRACT($B1146, $E$2)"),"tamuk")</f>
        <v>tamuk</v>
      </c>
      <c r="E1146" s="4"/>
      <c r="F1146" s="4"/>
      <c r="G1146" s="4"/>
      <c r="H1146" s="4"/>
      <c r="I1146" s="4"/>
      <c r="J1146" s="4"/>
      <c r="K1146" s="4"/>
      <c r="L1146" s="4"/>
      <c r="M1146" s="4"/>
      <c r="N1146" s="4"/>
      <c r="O1146" s="4"/>
      <c r="P1146" s="4"/>
      <c r="Q1146" s="4"/>
      <c r="R1146" s="4"/>
      <c r="S1146" s="4"/>
      <c r="T1146" s="4"/>
      <c r="U1146" s="4"/>
      <c r="V1146" s="4"/>
      <c r="W1146" s="4"/>
      <c r="X1146" s="4"/>
      <c r="Y1146" s="4"/>
      <c r="Z1146" s="4"/>
    </row>
    <row r="1147" spans="1:26" ht="15.75" customHeight="1" x14ac:dyDescent="0.2">
      <c r="A1147" s="1" t="s">
        <v>2285</v>
      </c>
      <c r="B1147" s="1" t="s">
        <v>2286</v>
      </c>
      <c r="C1147" s="5" t="str">
        <f ca="1">IFERROR(__xludf.DUMMYFUNCTION("REGEXEXTRACT($B1147, $E$2)"),"tamut")</f>
        <v>tamut</v>
      </c>
      <c r="E1147" s="4"/>
      <c r="F1147" s="4"/>
      <c r="G1147" s="4"/>
      <c r="H1147" s="4"/>
      <c r="I1147" s="4"/>
      <c r="J1147" s="4"/>
      <c r="K1147" s="4"/>
      <c r="L1147" s="4"/>
      <c r="M1147" s="4"/>
      <c r="N1147" s="4"/>
      <c r="O1147" s="4"/>
      <c r="P1147" s="4"/>
      <c r="Q1147" s="4"/>
      <c r="R1147" s="4"/>
      <c r="S1147" s="4"/>
      <c r="T1147" s="4"/>
      <c r="U1147" s="4"/>
      <c r="V1147" s="4"/>
      <c r="W1147" s="4"/>
      <c r="X1147" s="4"/>
      <c r="Y1147" s="4"/>
      <c r="Z1147" s="4"/>
    </row>
    <row r="1148" spans="1:26" ht="15.75" customHeight="1" x14ac:dyDescent="0.2">
      <c r="A1148" s="1" t="s">
        <v>2287</v>
      </c>
      <c r="B1148" s="1" t="s">
        <v>2288</v>
      </c>
      <c r="C1148" s="5" t="str">
        <f ca="1">IFERROR(__xludf.DUMMYFUNCTION("REGEXEXTRACT($B1148, $E$2)"),"tcu")</f>
        <v>tcu</v>
      </c>
      <c r="E1148" s="4"/>
      <c r="F1148" s="4"/>
      <c r="G1148" s="4"/>
      <c r="H1148" s="4"/>
      <c r="I1148" s="4"/>
      <c r="J1148" s="4"/>
      <c r="K1148" s="4"/>
      <c r="L1148" s="4"/>
      <c r="M1148" s="4"/>
      <c r="N1148" s="4"/>
      <c r="O1148" s="4"/>
      <c r="P1148" s="4"/>
      <c r="Q1148" s="4"/>
      <c r="R1148" s="4"/>
      <c r="S1148" s="4"/>
      <c r="T1148" s="4"/>
      <c r="U1148" s="4"/>
      <c r="V1148" s="4"/>
      <c r="W1148" s="4"/>
      <c r="X1148" s="4"/>
      <c r="Y1148" s="4"/>
      <c r="Z1148" s="4"/>
    </row>
    <row r="1149" spans="1:26" ht="15.75" customHeight="1" x14ac:dyDescent="0.2">
      <c r="A1149" s="1" t="s">
        <v>2289</v>
      </c>
      <c r="B1149" s="1" t="s">
        <v>2290</v>
      </c>
      <c r="C1149" s="5" t="str">
        <f ca="1">IFERROR(__xludf.DUMMYFUNCTION("REGEXEXTRACT($B1149, $E$2)"),"texascollege")</f>
        <v>texascollege</v>
      </c>
      <c r="E1149" s="4"/>
      <c r="F1149" s="4"/>
      <c r="G1149" s="4"/>
      <c r="H1149" s="4"/>
      <c r="I1149" s="4"/>
      <c r="J1149" s="4"/>
      <c r="K1149" s="4"/>
      <c r="L1149" s="4"/>
      <c r="M1149" s="4"/>
      <c r="N1149" s="4"/>
      <c r="O1149" s="4"/>
      <c r="P1149" s="4"/>
      <c r="Q1149" s="4"/>
      <c r="R1149" s="4"/>
      <c r="S1149" s="4"/>
      <c r="T1149" s="4"/>
      <c r="U1149" s="4"/>
      <c r="V1149" s="4"/>
      <c r="W1149" s="4"/>
      <c r="X1149" s="4"/>
      <c r="Y1149" s="4"/>
      <c r="Z1149" s="4"/>
    </row>
    <row r="1150" spans="1:26" ht="15.75" customHeight="1" x14ac:dyDescent="0.2">
      <c r="A1150" s="1" t="s">
        <v>2291</v>
      </c>
      <c r="B1150" s="1" t="s">
        <v>2292</v>
      </c>
      <c r="C1150" s="5" t="str">
        <f ca="1">IFERROR(__xludf.DUMMYFUNCTION("REGEXEXTRACT($B1150, $E$2)"),"tlu")</f>
        <v>tlu</v>
      </c>
      <c r="E1150" s="4"/>
      <c r="F1150" s="4"/>
      <c r="G1150" s="4"/>
      <c r="H1150" s="4"/>
      <c r="I1150" s="4"/>
      <c r="J1150" s="4"/>
      <c r="K1150" s="4"/>
      <c r="L1150" s="4"/>
      <c r="M1150" s="4"/>
      <c r="N1150" s="4"/>
      <c r="O1150" s="4"/>
      <c r="P1150" s="4"/>
      <c r="Q1150" s="4"/>
      <c r="R1150" s="4"/>
      <c r="S1150" s="4"/>
      <c r="T1150" s="4"/>
      <c r="U1150" s="4"/>
      <c r="V1150" s="4"/>
      <c r="W1150" s="4"/>
      <c r="X1150" s="4"/>
      <c r="Y1150" s="4"/>
      <c r="Z1150" s="4"/>
    </row>
    <row r="1151" spans="1:26" ht="15.75" customHeight="1" x14ac:dyDescent="0.2">
      <c r="A1151" s="1" t="s">
        <v>2293</v>
      </c>
      <c r="B1151" s="1" t="s">
        <v>2294</v>
      </c>
      <c r="C1151" s="5" t="str">
        <f ca="1">IFERROR(__xludf.DUMMYFUNCTION("REGEXEXTRACT($B1151, $E$2)"),"tsu")</f>
        <v>tsu</v>
      </c>
      <c r="E1151" s="4"/>
      <c r="F1151" s="4"/>
      <c r="G1151" s="4"/>
      <c r="H1151" s="4"/>
      <c r="I1151" s="4"/>
      <c r="J1151" s="4"/>
      <c r="K1151" s="4"/>
      <c r="L1151" s="4"/>
      <c r="M1151" s="4"/>
      <c r="N1151" s="4"/>
      <c r="O1151" s="4"/>
      <c r="P1151" s="4"/>
      <c r="Q1151" s="4"/>
      <c r="R1151" s="4"/>
      <c r="S1151" s="4"/>
      <c r="T1151" s="4"/>
      <c r="U1151" s="4"/>
      <c r="V1151" s="4"/>
      <c r="W1151" s="4"/>
      <c r="X1151" s="4"/>
      <c r="Y1151" s="4"/>
      <c r="Z1151" s="4"/>
    </row>
    <row r="1152" spans="1:26" ht="15.75" customHeight="1" x14ac:dyDescent="0.2">
      <c r="A1152" s="1" t="s">
        <v>2295</v>
      </c>
      <c r="B1152" s="1" t="s">
        <v>2296</v>
      </c>
      <c r="C1152" s="5" t="str">
        <f ca="1">IFERROR(__xludf.DUMMYFUNCTION("REGEXEXTRACT($B1152, $E$2)"),"txstate")</f>
        <v>txstate</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1:26" ht="15.75" customHeight="1" x14ac:dyDescent="0.2">
      <c r="A1153" s="1" t="s">
        <v>2297</v>
      </c>
      <c r="B1153" s="1" t="s">
        <v>2298</v>
      </c>
      <c r="C1153" s="5" t="str">
        <f ca="1">IFERROR(__xludf.DUMMYFUNCTION("REGEXEXTRACT($B1153, $E$2)"),"ttu")</f>
        <v>ttu</v>
      </c>
      <c r="E1153" s="4"/>
      <c r="F1153" s="4"/>
      <c r="G1153" s="4"/>
      <c r="H1153" s="4"/>
      <c r="I1153" s="4"/>
      <c r="J1153" s="4"/>
      <c r="K1153" s="4"/>
      <c r="L1153" s="4"/>
      <c r="M1153" s="4"/>
      <c r="N1153" s="4"/>
      <c r="O1153" s="4"/>
      <c r="P1153" s="4"/>
      <c r="Q1153" s="4"/>
      <c r="R1153" s="4"/>
      <c r="S1153" s="4"/>
      <c r="T1153" s="4"/>
      <c r="U1153" s="4"/>
      <c r="V1153" s="4"/>
      <c r="W1153" s="4"/>
      <c r="X1153" s="4"/>
      <c r="Y1153" s="4"/>
      <c r="Z1153" s="4"/>
    </row>
    <row r="1154" spans="1:26" ht="15.75" customHeight="1" x14ac:dyDescent="0.2">
      <c r="A1154" s="1" t="s">
        <v>2299</v>
      </c>
      <c r="B1154" s="1" t="s">
        <v>2300</v>
      </c>
      <c r="C1154" s="5" t="str">
        <f ca="1">IFERROR(__xludf.DUMMYFUNCTION("REGEXEXTRACT($B1154, $E$2)"),"utrgv")</f>
        <v>utrgv</v>
      </c>
      <c r="E1154" s="4"/>
      <c r="F1154" s="4"/>
      <c r="G1154" s="4"/>
      <c r="H1154" s="4"/>
      <c r="I1154" s="4"/>
      <c r="J1154" s="4"/>
      <c r="K1154" s="4"/>
      <c r="L1154" s="4"/>
      <c r="M1154" s="4"/>
      <c r="N1154" s="4"/>
      <c r="O1154" s="4"/>
      <c r="P1154" s="4"/>
      <c r="Q1154" s="4"/>
      <c r="R1154" s="4"/>
      <c r="S1154" s="4"/>
      <c r="T1154" s="4"/>
      <c r="U1154" s="4"/>
      <c r="V1154" s="4"/>
      <c r="W1154" s="4"/>
      <c r="X1154" s="4"/>
      <c r="Y1154" s="4"/>
      <c r="Z1154" s="4"/>
    </row>
    <row r="1155" spans="1:26" ht="15.75" customHeight="1" x14ac:dyDescent="0.2">
      <c r="A1155" s="1" t="s">
        <v>2301</v>
      </c>
      <c r="B1155" s="1" t="s">
        <v>2302</v>
      </c>
      <c r="C1155" s="5" t="str">
        <f ca="1">IFERROR(__xludf.DUMMYFUNCTION("REGEXEXTRACT($B1155, $E$2)"),"txwes")</f>
        <v>txwes</v>
      </c>
      <c r="E1155" s="4"/>
      <c r="F1155" s="4"/>
      <c r="G1155" s="4"/>
      <c r="H1155" s="4"/>
      <c r="I1155" s="4"/>
      <c r="J1155" s="4"/>
      <c r="K1155" s="4"/>
      <c r="L1155" s="4"/>
      <c r="M1155" s="4"/>
      <c r="N1155" s="4"/>
      <c r="O1155" s="4"/>
      <c r="P1155" s="4"/>
      <c r="Q1155" s="4"/>
      <c r="R1155" s="4"/>
      <c r="S1155" s="4"/>
      <c r="T1155" s="4"/>
      <c r="U1155" s="4"/>
      <c r="V1155" s="4"/>
      <c r="W1155" s="4"/>
      <c r="X1155" s="4"/>
      <c r="Y1155" s="4"/>
      <c r="Z1155" s="4"/>
    </row>
    <row r="1156" spans="1:26" ht="15.75" customHeight="1" x14ac:dyDescent="0.2">
      <c r="A1156" s="1" t="s">
        <v>2303</v>
      </c>
      <c r="B1156" s="1" t="s">
        <v>2304</v>
      </c>
      <c r="C1156" s="5" t="str">
        <f ca="1">IFERROR(__xludf.DUMMYFUNCTION("REGEXEXTRACT($B1156, $E$2)"),"twu")</f>
        <v>twu</v>
      </c>
      <c r="E1156" s="4"/>
      <c r="F1156" s="4"/>
      <c r="G1156" s="4"/>
      <c r="H1156" s="4"/>
      <c r="I1156" s="4"/>
      <c r="J1156" s="4"/>
      <c r="K1156" s="4"/>
      <c r="L1156" s="4"/>
      <c r="M1156" s="4"/>
      <c r="N1156" s="4"/>
      <c r="O1156" s="4"/>
      <c r="P1156" s="4"/>
      <c r="Q1156" s="4"/>
      <c r="R1156" s="4"/>
      <c r="S1156" s="4"/>
      <c r="T1156" s="4"/>
      <c r="U1156" s="4"/>
      <c r="V1156" s="4"/>
      <c r="W1156" s="4"/>
      <c r="X1156" s="4"/>
      <c r="Y1156" s="4"/>
      <c r="Z1156" s="4"/>
    </row>
    <row r="1157" spans="1:26" ht="15.75" customHeight="1" x14ac:dyDescent="0.2">
      <c r="A1157" s="1" t="s">
        <v>2305</v>
      </c>
      <c r="B1157" s="1" t="s">
        <v>2306</v>
      </c>
      <c r="C1157" s="5" t="str">
        <f ca="1">IFERROR(__xludf.DUMMYFUNCTION("REGEXEXTRACT($B1157, $E$2)"),"acg")</f>
        <v>acg</v>
      </c>
      <c r="E1157" s="4"/>
      <c r="F1157" s="4"/>
      <c r="G1157" s="4"/>
      <c r="H1157" s="4"/>
      <c r="I1157" s="4"/>
      <c r="J1157" s="4"/>
      <c r="K1157" s="4"/>
      <c r="L1157" s="4"/>
      <c r="M1157" s="4"/>
      <c r="N1157" s="4"/>
      <c r="O1157" s="4"/>
      <c r="P1157" s="4"/>
      <c r="Q1157" s="4"/>
      <c r="R1157" s="4"/>
      <c r="S1157" s="4"/>
      <c r="T1157" s="4"/>
      <c r="U1157" s="4"/>
      <c r="V1157" s="4"/>
      <c r="W1157" s="4"/>
      <c r="X1157" s="4"/>
      <c r="Y1157" s="4"/>
      <c r="Z1157" s="4"/>
    </row>
    <row r="1158" spans="1:26" ht="15.75" customHeight="1" x14ac:dyDescent="0.2">
      <c r="A1158" s="1" t="s">
        <v>2307</v>
      </c>
      <c r="B1158" s="1" t="s">
        <v>2308</v>
      </c>
      <c r="C1158" s="5" t="str">
        <f ca="1">IFERROR(__xludf.DUMMYFUNCTION("REGEXEXTRACT($B1158, $E$2)"),"aucegypt")</f>
        <v>aucegypt</v>
      </c>
      <c r="E1158" s="4"/>
      <c r="F1158" s="4"/>
      <c r="G1158" s="4"/>
      <c r="H1158" s="4"/>
      <c r="I1158" s="4"/>
      <c r="J1158" s="4"/>
      <c r="K1158" s="4"/>
      <c r="L1158" s="4"/>
      <c r="M1158" s="4"/>
      <c r="N1158" s="4"/>
      <c r="O1158" s="4"/>
      <c r="P1158" s="4"/>
      <c r="Q1158" s="4"/>
      <c r="R1158" s="4"/>
      <c r="S1158" s="4"/>
      <c r="T1158" s="4"/>
      <c r="U1158" s="4"/>
      <c r="V1158" s="4"/>
      <c r="W1158" s="4"/>
      <c r="X1158" s="4"/>
      <c r="Y1158" s="4"/>
      <c r="Z1158" s="4"/>
    </row>
    <row r="1159" spans="1:26" ht="15.75" customHeight="1" x14ac:dyDescent="0.2">
      <c r="A1159" s="1" t="s">
        <v>2309</v>
      </c>
      <c r="B1159" s="1" t="s">
        <v>2310</v>
      </c>
      <c r="C1159" s="5" t="str">
        <f ca="1">IFERROR(__xludf.DUMMYFUNCTION("REGEXEXTRACT($B1159, $E$2)"),"citadel")</f>
        <v>citadel</v>
      </c>
      <c r="E1159" s="4"/>
      <c r="F1159" s="4"/>
      <c r="G1159" s="4"/>
      <c r="H1159" s="4"/>
      <c r="I1159" s="4"/>
      <c r="J1159" s="4"/>
      <c r="K1159" s="4"/>
      <c r="L1159" s="4"/>
      <c r="M1159" s="4"/>
      <c r="N1159" s="4"/>
      <c r="O1159" s="4"/>
      <c r="P1159" s="4"/>
      <c r="Q1159" s="4"/>
      <c r="R1159" s="4"/>
      <c r="S1159" s="4"/>
      <c r="T1159" s="4"/>
      <c r="U1159" s="4"/>
      <c r="V1159" s="4"/>
      <c r="W1159" s="4"/>
      <c r="X1159" s="4"/>
      <c r="Y1159" s="4"/>
      <c r="Z1159" s="4"/>
    </row>
    <row r="1160" spans="1:26" ht="15.75" customHeight="1" x14ac:dyDescent="0.2">
      <c r="A1160" s="1" t="s">
        <v>2311</v>
      </c>
      <c r="B1160" s="1" t="s">
        <v>2312</v>
      </c>
      <c r="C1160" s="5" t="str">
        <f ca="1">IFERROR(__xludf.DUMMYFUNCTION("REGEXEXTRACT($B1160, $E$2)"),"tkc")</f>
        <v>tkc</v>
      </c>
      <c r="E1160" s="4"/>
      <c r="F1160" s="4"/>
      <c r="G1160" s="4"/>
      <c r="H1160" s="4"/>
      <c r="I1160" s="4"/>
      <c r="J1160" s="4"/>
      <c r="K1160" s="4"/>
      <c r="L1160" s="4"/>
      <c r="M1160" s="4"/>
      <c r="N1160" s="4"/>
      <c r="O1160" s="4"/>
      <c r="P1160" s="4"/>
      <c r="Q1160" s="4"/>
      <c r="R1160" s="4"/>
      <c r="S1160" s="4"/>
      <c r="T1160" s="4"/>
      <c r="U1160" s="4"/>
      <c r="V1160" s="4"/>
      <c r="W1160" s="4"/>
      <c r="X1160" s="4"/>
      <c r="Y1160" s="4"/>
      <c r="Z1160" s="4"/>
    </row>
    <row r="1161" spans="1:26" ht="15.75" customHeight="1" x14ac:dyDescent="0.2">
      <c r="A1161" s="1" t="s">
        <v>2313</v>
      </c>
      <c r="B1161" s="1" t="s">
        <v>2314</v>
      </c>
      <c r="C1161" s="5" t="str">
        <f ca="1">IFERROR(__xludf.DUMMYFUNCTION("REGEXEXTRACT($B1161, $E$2)"),"masters")</f>
        <v>masters</v>
      </c>
      <c r="E1161" s="4"/>
      <c r="F1161" s="4"/>
      <c r="G1161" s="4"/>
      <c r="H1161" s="4"/>
      <c r="I1161" s="4"/>
      <c r="J1161" s="4"/>
      <c r="K1161" s="4"/>
      <c r="L1161" s="4"/>
      <c r="M1161" s="4"/>
      <c r="N1161" s="4"/>
      <c r="O1161" s="4"/>
      <c r="P1161" s="4"/>
      <c r="Q1161" s="4"/>
      <c r="R1161" s="4"/>
      <c r="S1161" s="4"/>
      <c r="T1161" s="4"/>
      <c r="U1161" s="4"/>
      <c r="V1161" s="4"/>
      <c r="W1161" s="4"/>
      <c r="X1161" s="4"/>
      <c r="Y1161" s="4"/>
      <c r="Z1161" s="4"/>
    </row>
    <row r="1162" spans="1:26" ht="15.75" customHeight="1" x14ac:dyDescent="0.2">
      <c r="A1162" s="1" t="s">
        <v>2315</v>
      </c>
      <c r="B1162" s="1" t="s">
        <v>2316</v>
      </c>
      <c r="C1162" s="5" t="str">
        <f ca="1">IFERROR(__xludf.DUMMYFUNCTION("REGEXEXTRACT($B1162, $E$2)"),"ua")</f>
        <v>ua</v>
      </c>
      <c r="E1162" s="4"/>
      <c r="F1162" s="4"/>
      <c r="G1162" s="4"/>
      <c r="H1162" s="4"/>
      <c r="I1162" s="4"/>
      <c r="J1162" s="4"/>
      <c r="K1162" s="4"/>
      <c r="L1162" s="4"/>
      <c r="M1162" s="4"/>
      <c r="N1162" s="4"/>
      <c r="O1162" s="4"/>
      <c r="P1162" s="4"/>
      <c r="Q1162" s="4"/>
      <c r="R1162" s="4"/>
      <c r="S1162" s="4"/>
      <c r="T1162" s="4"/>
      <c r="U1162" s="4"/>
      <c r="V1162" s="4"/>
      <c r="W1162" s="4"/>
      <c r="X1162" s="4"/>
      <c r="Y1162" s="4"/>
      <c r="Z1162" s="4"/>
    </row>
    <row r="1163" spans="1:26" ht="15.75" customHeight="1" x14ac:dyDescent="0.2">
      <c r="A1163" s="1" t="s">
        <v>2317</v>
      </c>
      <c r="B1163" s="1" t="s">
        <v>2318</v>
      </c>
      <c r="C1163" s="5" t="str">
        <f ca="1">IFERROR(__xludf.DUMMYFUNCTION("REGEXEXTRACT($B1163, $E$2)"),"uah")</f>
        <v>uah</v>
      </c>
      <c r="E1163" s="4"/>
      <c r="F1163" s="4"/>
      <c r="G1163" s="4"/>
      <c r="H1163" s="4"/>
      <c r="I1163" s="4"/>
      <c r="J1163" s="4"/>
      <c r="K1163" s="4"/>
      <c r="L1163" s="4"/>
      <c r="M1163" s="4"/>
      <c r="N1163" s="4"/>
      <c r="O1163" s="4"/>
      <c r="P1163" s="4"/>
      <c r="Q1163" s="4"/>
      <c r="R1163" s="4"/>
      <c r="S1163" s="4"/>
      <c r="T1163" s="4"/>
      <c r="U1163" s="4"/>
      <c r="V1163" s="4"/>
      <c r="W1163" s="4"/>
      <c r="X1163" s="4"/>
      <c r="Y1163" s="4"/>
      <c r="Z1163" s="4"/>
    </row>
    <row r="1164" spans="1:26" ht="15.75" customHeight="1" x14ac:dyDescent="0.2">
      <c r="A1164" s="1" t="s">
        <v>2319</v>
      </c>
      <c r="B1164" s="1" t="s">
        <v>2320</v>
      </c>
      <c r="C1164" s="5" t="str">
        <f ca="1">IFERROR(__xludf.DUMMYFUNCTION("REGEXEXTRACT($B1164, $E$2)"),"umontana")</f>
        <v>umontana</v>
      </c>
      <c r="E1164" s="4"/>
      <c r="F1164" s="4"/>
      <c r="G1164" s="4"/>
      <c r="H1164" s="4"/>
      <c r="I1164" s="4"/>
      <c r="J1164" s="4"/>
      <c r="K1164" s="4"/>
      <c r="L1164" s="4"/>
      <c r="M1164" s="4"/>
      <c r="N1164" s="4"/>
      <c r="O1164" s="4"/>
      <c r="P1164" s="4"/>
      <c r="Q1164" s="4"/>
      <c r="R1164" s="4"/>
      <c r="S1164" s="4"/>
      <c r="T1164" s="4"/>
      <c r="U1164" s="4"/>
      <c r="V1164" s="4"/>
      <c r="W1164" s="4"/>
      <c r="X1164" s="4"/>
      <c r="Y1164" s="4"/>
      <c r="Z1164" s="4"/>
    </row>
    <row r="1165" spans="1:26" ht="15.75" customHeight="1" x14ac:dyDescent="0.2">
      <c r="A1165" s="1" t="s">
        <v>2321</v>
      </c>
      <c r="B1165" s="1" t="s">
        <v>2322</v>
      </c>
      <c r="C1165" s="5" t="str">
        <f ca="1">IFERROR(__xludf.DUMMYFUNCTION("REGEXEXTRACT($B1165, $E$2)"),"umwestern")</f>
        <v>umwestern</v>
      </c>
      <c r="E1165" s="4"/>
      <c r="F1165" s="4"/>
      <c r="G1165" s="4"/>
      <c r="H1165" s="4"/>
      <c r="I1165" s="4"/>
      <c r="J1165" s="4"/>
      <c r="K1165" s="4"/>
      <c r="L1165" s="4"/>
      <c r="M1165" s="4"/>
      <c r="N1165" s="4"/>
      <c r="O1165" s="4"/>
      <c r="P1165" s="4"/>
      <c r="Q1165" s="4"/>
      <c r="R1165" s="4"/>
      <c r="S1165" s="4"/>
      <c r="T1165" s="4"/>
      <c r="U1165" s="4"/>
      <c r="V1165" s="4"/>
      <c r="W1165" s="4"/>
      <c r="X1165" s="4"/>
      <c r="Y1165" s="4"/>
      <c r="Z1165" s="4"/>
    </row>
    <row r="1166" spans="1:26" ht="15.75" customHeight="1" x14ac:dyDescent="0.2">
      <c r="A1166" s="1" t="s">
        <v>2323</v>
      </c>
      <c r="B1166" s="1" t="s">
        <v>2324</v>
      </c>
      <c r="C1166" s="5" t="str">
        <f ca="1">IFERROR(__xludf.DUMMYFUNCTION("REGEXEXTRACT($B1166, $E$2)"),"umo")</f>
        <v>umo</v>
      </c>
      <c r="E1166" s="4"/>
      <c r="F1166" s="4"/>
      <c r="G1166" s="4"/>
      <c r="H1166" s="4"/>
      <c r="I1166" s="4"/>
      <c r="J1166" s="4"/>
      <c r="K1166" s="4"/>
      <c r="L1166" s="4"/>
      <c r="M1166" s="4"/>
      <c r="N1166" s="4"/>
      <c r="O1166" s="4"/>
      <c r="P1166" s="4"/>
      <c r="Q1166" s="4"/>
      <c r="R1166" s="4"/>
      <c r="S1166" s="4"/>
      <c r="T1166" s="4"/>
      <c r="U1166" s="4"/>
      <c r="V1166" s="4"/>
      <c r="W1166" s="4"/>
      <c r="X1166" s="4"/>
      <c r="Y1166" s="4"/>
      <c r="Z1166" s="4"/>
    </row>
    <row r="1167" spans="1:26" ht="15.75" customHeight="1" x14ac:dyDescent="0.2">
      <c r="A1167" s="1" t="s">
        <v>2325</v>
      </c>
      <c r="B1167" s="1" t="s">
        <v>2326</v>
      </c>
      <c r="C1167" s="5" t="str">
        <f ca="1">IFERROR(__xludf.DUMMYFUNCTION("REGEXEXTRACT($B1167, $E$2)"),"unm")</f>
        <v>unm</v>
      </c>
      <c r="E1167" s="4"/>
      <c r="F1167" s="4"/>
      <c r="G1167" s="4"/>
      <c r="H1167" s="4"/>
      <c r="I1167" s="4"/>
      <c r="J1167" s="4"/>
      <c r="K1167" s="4"/>
      <c r="L1167" s="4"/>
      <c r="M1167" s="4"/>
      <c r="N1167" s="4"/>
      <c r="O1167" s="4"/>
      <c r="P1167" s="4"/>
      <c r="Q1167" s="4"/>
      <c r="R1167" s="4"/>
      <c r="S1167" s="4"/>
      <c r="T1167" s="4"/>
      <c r="U1167" s="4"/>
      <c r="V1167" s="4"/>
      <c r="W1167" s="4"/>
      <c r="X1167" s="4"/>
      <c r="Y1167" s="4"/>
      <c r="Z1167" s="4"/>
    </row>
    <row r="1168" spans="1:26" ht="15.75" customHeight="1" x14ac:dyDescent="0.2">
      <c r="A1168" s="1" t="s">
        <v>2327</v>
      </c>
      <c r="B1168" s="1" t="s">
        <v>2328</v>
      </c>
      <c r="C1168" s="5" t="str">
        <f ca="1">IFERROR(__xludf.DUMMYFUNCTION("REGEXEXTRACT($B1168, $E$2)"),"utpb")</f>
        <v>utpb</v>
      </c>
      <c r="E1168" s="4"/>
      <c r="F1168" s="4"/>
      <c r="G1168" s="4"/>
      <c r="H1168" s="4"/>
      <c r="I1168" s="4"/>
      <c r="J1168" s="4"/>
      <c r="K1168" s="4"/>
      <c r="L1168" s="4"/>
      <c r="M1168" s="4"/>
      <c r="N1168" s="4"/>
      <c r="O1168" s="4"/>
      <c r="P1168" s="4"/>
      <c r="Q1168" s="4"/>
      <c r="R1168" s="4"/>
      <c r="S1168" s="4"/>
      <c r="T1168" s="4"/>
      <c r="U1168" s="4"/>
      <c r="V1168" s="4"/>
      <c r="W1168" s="4"/>
      <c r="X1168" s="4"/>
      <c r="Y1168" s="4"/>
      <c r="Z1168" s="4"/>
    </row>
    <row r="1169" spans="1:26" ht="15.75" customHeight="1" x14ac:dyDescent="0.2">
      <c r="A1169" s="1" t="s">
        <v>2329</v>
      </c>
      <c r="B1169" s="1" t="s">
        <v>2330</v>
      </c>
      <c r="C1169" s="5" t="str">
        <f ca="1">IFERROR(__xludf.DUMMYFUNCTION("REGEXEXTRACT($B1169, $E$2)"),"uarts")</f>
        <v>uarts</v>
      </c>
      <c r="E1169" s="4"/>
      <c r="F1169" s="4"/>
      <c r="G1169" s="4"/>
      <c r="H1169" s="4"/>
      <c r="I1169" s="4"/>
      <c r="J1169" s="4"/>
      <c r="K1169" s="4"/>
      <c r="L1169" s="4"/>
      <c r="M1169" s="4"/>
      <c r="N1169" s="4"/>
      <c r="O1169" s="4"/>
      <c r="P1169" s="4"/>
      <c r="Q1169" s="4"/>
      <c r="R1169" s="4"/>
      <c r="S1169" s="4"/>
      <c r="T1169" s="4"/>
      <c r="U1169" s="4"/>
      <c r="V1169" s="4"/>
      <c r="W1169" s="4"/>
      <c r="X1169" s="4"/>
      <c r="Y1169" s="4"/>
      <c r="Z1169" s="4"/>
    </row>
    <row r="1170" spans="1:26" ht="15.75" customHeight="1" x14ac:dyDescent="0.2">
      <c r="A1170" s="1" t="s">
        <v>2331</v>
      </c>
      <c r="B1170" s="1" t="s">
        <v>2332</v>
      </c>
      <c r="C1170" s="5" t="str">
        <f ca="1">IFERROR(__xludf.DUMMYFUNCTION("REGEXEXTRACT($B1170, $E$2)"),"utah")</f>
        <v>utah</v>
      </c>
      <c r="E1170" s="4"/>
      <c r="F1170" s="4"/>
      <c r="G1170" s="4"/>
      <c r="H1170" s="4"/>
      <c r="I1170" s="4"/>
      <c r="J1170" s="4"/>
      <c r="K1170" s="4"/>
      <c r="L1170" s="4"/>
      <c r="M1170" s="4"/>
      <c r="N1170" s="4"/>
      <c r="O1170" s="4"/>
      <c r="P1170" s="4"/>
      <c r="Q1170" s="4"/>
      <c r="R1170" s="4"/>
      <c r="S1170" s="4"/>
      <c r="T1170" s="4"/>
      <c r="U1170" s="4"/>
      <c r="V1170" s="4"/>
      <c r="W1170" s="4"/>
      <c r="X1170" s="4"/>
      <c r="Y1170" s="4"/>
      <c r="Z1170" s="4"/>
    </row>
    <row r="1171" spans="1:26" ht="15.75" customHeight="1" x14ac:dyDescent="0.2">
      <c r="A1171" s="1" t="s">
        <v>2333</v>
      </c>
      <c r="B1171" s="1" t="s">
        <v>2334</v>
      </c>
      <c r="C1171" s="5" t="str">
        <f ca="1">IFERROR(__xludf.DUMMYFUNCTION("REGEXEXTRACT($B1171, $E$2)"),"thiel")</f>
        <v>thiel</v>
      </c>
      <c r="E1171" s="4"/>
      <c r="F1171" s="4"/>
      <c r="G1171" s="4"/>
      <c r="H1171" s="4"/>
      <c r="I1171" s="4"/>
      <c r="J1171" s="4"/>
      <c r="K1171" s="4"/>
      <c r="L1171" s="4"/>
      <c r="M1171" s="4"/>
      <c r="N1171" s="4"/>
      <c r="O1171" s="4"/>
      <c r="P1171" s="4"/>
      <c r="Q1171" s="4"/>
      <c r="R1171" s="4"/>
      <c r="S1171" s="4"/>
      <c r="T1171" s="4"/>
      <c r="U1171" s="4"/>
      <c r="V1171" s="4"/>
      <c r="W1171" s="4"/>
      <c r="X1171" s="4"/>
      <c r="Y1171" s="4"/>
      <c r="Z1171" s="4"/>
    </row>
    <row r="1172" spans="1:26" ht="15.75" customHeight="1" x14ac:dyDescent="0.2">
      <c r="A1172" s="1" t="s">
        <v>2335</v>
      </c>
      <c r="B1172" s="1" t="s">
        <v>2336</v>
      </c>
      <c r="C1172" s="5" t="str">
        <f ca="1">IFERROR(__xludf.DUMMYFUNCTION("REGEXEXTRACT($B1172, $E$2)"),"thomasaquinas")</f>
        <v>thomasaquinas</v>
      </c>
      <c r="E1172" s="4"/>
      <c r="F1172" s="4"/>
      <c r="G1172" s="4"/>
      <c r="H1172" s="4"/>
      <c r="I1172" s="4"/>
      <c r="J1172" s="4"/>
      <c r="K1172" s="4"/>
      <c r="L1172" s="4"/>
      <c r="M1172" s="4"/>
      <c r="N1172" s="4"/>
      <c r="O1172" s="4"/>
      <c r="P1172" s="4"/>
      <c r="Q1172" s="4"/>
      <c r="R1172" s="4"/>
      <c r="S1172" s="4"/>
      <c r="T1172" s="4"/>
      <c r="U1172" s="4"/>
      <c r="V1172" s="4"/>
      <c r="W1172" s="4"/>
      <c r="X1172" s="4"/>
      <c r="Y1172" s="4"/>
      <c r="Z1172" s="4"/>
    </row>
    <row r="1173" spans="1:26" ht="15.75" customHeight="1" x14ac:dyDescent="0.2">
      <c r="A1173" s="1" t="s">
        <v>2337</v>
      </c>
      <c r="B1173" s="1" t="s">
        <v>2338</v>
      </c>
      <c r="C1173" s="5" t="str">
        <f ca="1">IFERROR(__xludf.DUMMYFUNCTION("REGEXEXTRACT($B1173, $E$2)"),"thomas")</f>
        <v>thomas</v>
      </c>
      <c r="E1173" s="4"/>
      <c r="F1173" s="4"/>
      <c r="G1173" s="4"/>
      <c r="H1173" s="4"/>
      <c r="I1173" s="4"/>
      <c r="J1173" s="4"/>
      <c r="K1173" s="4"/>
      <c r="L1173" s="4"/>
      <c r="M1173" s="4"/>
      <c r="N1173" s="4"/>
      <c r="O1173" s="4"/>
      <c r="P1173" s="4"/>
      <c r="Q1173" s="4"/>
      <c r="R1173" s="4"/>
      <c r="S1173" s="4"/>
      <c r="T1173" s="4"/>
      <c r="U1173" s="4"/>
      <c r="V1173" s="4"/>
      <c r="W1173" s="4"/>
      <c r="X1173" s="4"/>
      <c r="Y1173" s="4"/>
      <c r="Z1173" s="4"/>
    </row>
    <row r="1174" spans="1:26" ht="15.75" customHeight="1" x14ac:dyDescent="0.2">
      <c r="A1174" s="1" t="s">
        <v>2339</v>
      </c>
      <c r="B1174" s="1" t="s">
        <v>2340</v>
      </c>
      <c r="C1174" s="5" t="str">
        <f ca="1">IFERROR(__xludf.DUMMYFUNCTION("REGEXEXTRACT($B1174, $E$2)"),"tesu")</f>
        <v>tesu</v>
      </c>
      <c r="E1174" s="4"/>
      <c r="F1174" s="4"/>
      <c r="G1174" s="4"/>
      <c r="H1174" s="4"/>
      <c r="I1174" s="4"/>
      <c r="J1174" s="4"/>
      <c r="K1174" s="4"/>
      <c r="L1174" s="4"/>
      <c r="M1174" s="4"/>
      <c r="N1174" s="4"/>
      <c r="O1174" s="4"/>
      <c r="P1174" s="4"/>
      <c r="Q1174" s="4"/>
      <c r="R1174" s="4"/>
      <c r="S1174" s="4"/>
      <c r="T1174" s="4"/>
      <c r="U1174" s="4"/>
      <c r="V1174" s="4"/>
      <c r="W1174" s="4"/>
      <c r="X1174" s="4"/>
      <c r="Y1174" s="4"/>
      <c r="Z1174" s="4"/>
    </row>
    <row r="1175" spans="1:26" ht="15.75" customHeight="1" x14ac:dyDescent="0.2">
      <c r="A1175" s="1" t="s">
        <v>2341</v>
      </c>
      <c r="B1175" s="1" t="s">
        <v>2342</v>
      </c>
      <c r="C1175" s="5" t="str">
        <f ca="1">IFERROR(__xludf.DUMMYFUNCTION("REGEXEXTRACT($B1175, $E$2)"),"thomasmore")</f>
        <v>thomasmore</v>
      </c>
      <c r="E1175" s="4"/>
      <c r="F1175" s="4"/>
      <c r="G1175" s="4"/>
      <c r="H1175" s="4"/>
      <c r="I1175" s="4"/>
      <c r="J1175" s="4"/>
      <c r="K1175" s="4"/>
      <c r="L1175" s="4"/>
      <c r="M1175" s="4"/>
      <c r="N1175" s="4"/>
      <c r="O1175" s="4"/>
      <c r="P1175" s="4"/>
      <c r="Q1175" s="4"/>
      <c r="R1175" s="4"/>
      <c r="S1175" s="4"/>
      <c r="T1175" s="4"/>
      <c r="U1175" s="4"/>
      <c r="V1175" s="4"/>
      <c r="W1175" s="4"/>
      <c r="X1175" s="4"/>
      <c r="Y1175" s="4"/>
      <c r="Z1175" s="4"/>
    </row>
    <row r="1176" spans="1:26" ht="15.75" customHeight="1" x14ac:dyDescent="0.2">
      <c r="A1176" s="1" t="s">
        <v>2343</v>
      </c>
      <c r="B1176" s="1" t="s">
        <v>2344</v>
      </c>
      <c r="C1176" s="5" t="str">
        <f ca="1">IFERROR(__xludf.DUMMYFUNCTION("REGEXEXTRACT($B1176, $E$2)"),"thomasu")</f>
        <v>thomasu</v>
      </c>
      <c r="E1176" s="4"/>
      <c r="F1176" s="4"/>
      <c r="G1176" s="4"/>
      <c r="H1176" s="4"/>
      <c r="I1176" s="4"/>
      <c r="J1176" s="4"/>
      <c r="K1176" s="4"/>
      <c r="L1176" s="4"/>
      <c r="M1176" s="4"/>
      <c r="N1176" s="4"/>
      <c r="O1176" s="4"/>
      <c r="P1176" s="4"/>
      <c r="Q1176" s="4"/>
      <c r="R1176" s="4"/>
      <c r="S1176" s="4"/>
      <c r="T1176" s="4"/>
      <c r="U1176" s="4"/>
      <c r="V1176" s="4"/>
      <c r="W1176" s="4"/>
      <c r="X1176" s="4"/>
      <c r="Y1176" s="4"/>
      <c r="Z1176" s="4"/>
    </row>
    <row r="1177" spans="1:26" ht="15.75" customHeight="1" x14ac:dyDescent="0.2">
      <c r="A1177" s="1" t="s">
        <v>2345</v>
      </c>
      <c r="B1177" s="1" t="s">
        <v>2346</v>
      </c>
      <c r="C1177" s="5" t="str">
        <f ca="1">IFERROR(__xludf.DUMMYFUNCTION("REGEXEXTRACT($B1177, $E$2)"),"tiffin")</f>
        <v>tiffin</v>
      </c>
      <c r="E1177" s="4"/>
      <c r="F1177" s="4"/>
      <c r="G1177" s="4"/>
      <c r="H1177" s="4"/>
      <c r="I1177" s="4"/>
      <c r="J1177" s="4"/>
      <c r="K1177" s="4"/>
      <c r="L1177" s="4"/>
      <c r="M1177" s="4"/>
      <c r="N1177" s="4"/>
      <c r="O1177" s="4"/>
      <c r="P1177" s="4"/>
      <c r="Q1177" s="4"/>
      <c r="R1177" s="4"/>
      <c r="S1177" s="4"/>
      <c r="T1177" s="4"/>
      <c r="U1177" s="4"/>
      <c r="V1177" s="4"/>
      <c r="W1177" s="4"/>
      <c r="X1177" s="4"/>
      <c r="Y1177" s="4"/>
      <c r="Z1177" s="4"/>
    </row>
    <row r="1178" spans="1:26" ht="15.75" customHeight="1" x14ac:dyDescent="0.2">
      <c r="A1178" s="1" t="s">
        <v>2347</v>
      </c>
      <c r="B1178" s="1" t="s">
        <v>2348</v>
      </c>
      <c r="C1178" s="5" t="str">
        <f ca="1">IFERROR(__xludf.DUMMYFUNCTION("REGEXEXTRACT($B1178, $E$2)"),"tfc")</f>
        <v>tfc</v>
      </c>
      <c r="E1178" s="4"/>
      <c r="F1178" s="4"/>
      <c r="G1178" s="4"/>
      <c r="H1178" s="4"/>
      <c r="I1178" s="4"/>
      <c r="J1178" s="4"/>
      <c r="K1178" s="4"/>
      <c r="L1178" s="4"/>
      <c r="M1178" s="4"/>
      <c r="N1178" s="4"/>
      <c r="O1178" s="4"/>
      <c r="P1178" s="4"/>
      <c r="Q1178" s="4"/>
      <c r="R1178" s="4"/>
      <c r="S1178" s="4"/>
      <c r="T1178" s="4"/>
      <c r="U1178" s="4"/>
      <c r="V1178" s="4"/>
      <c r="W1178" s="4"/>
      <c r="X1178" s="4"/>
      <c r="Y1178" s="4"/>
      <c r="Z1178" s="4"/>
    </row>
    <row r="1179" spans="1:26" ht="15.75" customHeight="1" x14ac:dyDescent="0.2">
      <c r="A1179" s="1" t="s">
        <v>2349</v>
      </c>
      <c r="B1179" s="1" t="s">
        <v>2350</v>
      </c>
      <c r="C1179" s="5" t="str">
        <f ca="1">IFERROR(__xludf.DUMMYFUNCTION("REGEXEXTRACT($B1179, $E$2)"),"tougaloo")</f>
        <v>tougaloo</v>
      </c>
      <c r="E1179" s="4"/>
      <c r="F1179" s="4"/>
      <c r="G1179" s="4"/>
      <c r="H1179" s="4"/>
      <c r="I1179" s="4"/>
      <c r="J1179" s="4"/>
      <c r="K1179" s="4"/>
      <c r="L1179" s="4"/>
      <c r="M1179" s="4"/>
      <c r="N1179" s="4"/>
      <c r="O1179" s="4"/>
      <c r="P1179" s="4"/>
      <c r="Q1179" s="4"/>
      <c r="R1179" s="4"/>
      <c r="S1179" s="4"/>
      <c r="T1179" s="4"/>
      <c r="U1179" s="4"/>
      <c r="V1179" s="4"/>
      <c r="W1179" s="4"/>
      <c r="X1179" s="4"/>
      <c r="Y1179" s="4"/>
      <c r="Z1179" s="4"/>
    </row>
    <row r="1180" spans="1:26" ht="15.75" customHeight="1" x14ac:dyDescent="0.2">
      <c r="A1180" s="1" t="s">
        <v>2351</v>
      </c>
      <c r="B1180" s="1" t="s">
        <v>2352</v>
      </c>
      <c r="C1180" s="5" t="str">
        <f ca="1">IFERROR(__xludf.DUMMYFUNCTION("REGEXEXTRACT($B1180, $E$2)"),"touro")</f>
        <v>touro</v>
      </c>
      <c r="E1180" s="4"/>
      <c r="F1180" s="4"/>
      <c r="G1180" s="4"/>
      <c r="H1180" s="4"/>
      <c r="I1180" s="4"/>
      <c r="J1180" s="4"/>
      <c r="K1180" s="4"/>
      <c r="L1180" s="4"/>
      <c r="M1180" s="4"/>
      <c r="N1180" s="4"/>
      <c r="O1180" s="4"/>
      <c r="P1180" s="4"/>
      <c r="Q1180" s="4"/>
      <c r="R1180" s="4"/>
      <c r="S1180" s="4"/>
      <c r="T1180" s="4"/>
      <c r="U1180" s="4"/>
      <c r="V1180" s="4"/>
      <c r="W1180" s="4"/>
      <c r="X1180" s="4"/>
      <c r="Y1180" s="4"/>
      <c r="Z1180" s="4"/>
    </row>
    <row r="1181" spans="1:26" ht="15.75" customHeight="1" x14ac:dyDescent="0.2">
      <c r="A1181" s="1" t="s">
        <v>2353</v>
      </c>
      <c r="B1181" s="1" t="s">
        <v>2354</v>
      </c>
      <c r="C1181" s="5" t="str">
        <f ca="1">IFERROR(__xludf.DUMMYFUNCTION("REGEXEXTRACT($B1181, $E$2)"),"towson")</f>
        <v>towson</v>
      </c>
      <c r="E1181" s="4"/>
      <c r="F1181" s="4"/>
      <c r="G1181" s="4"/>
      <c r="H1181" s="4"/>
      <c r="I1181" s="4"/>
      <c r="J1181" s="4"/>
      <c r="K1181" s="4"/>
      <c r="L1181" s="4"/>
      <c r="M1181" s="4"/>
      <c r="N1181" s="4"/>
      <c r="O1181" s="4"/>
      <c r="P1181" s="4"/>
      <c r="Q1181" s="4"/>
      <c r="R1181" s="4"/>
      <c r="S1181" s="4"/>
      <c r="T1181" s="4"/>
      <c r="U1181" s="4"/>
      <c r="V1181" s="4"/>
      <c r="W1181" s="4"/>
      <c r="X1181" s="4"/>
      <c r="Y1181" s="4"/>
      <c r="Z1181" s="4"/>
    </row>
    <row r="1182" spans="1:26" ht="15.75" customHeight="1" x14ac:dyDescent="0.2">
      <c r="A1182" s="1" t="s">
        <v>2355</v>
      </c>
      <c r="B1182" s="1" t="s">
        <v>2356</v>
      </c>
      <c r="C1182" s="5" t="str">
        <f ca="1">IFERROR(__xludf.DUMMYFUNCTION("REGEXEXTRACT($B1182, $E$2)"),"transy")</f>
        <v>transy</v>
      </c>
      <c r="E1182" s="4"/>
      <c r="F1182" s="4"/>
      <c r="G1182" s="4"/>
      <c r="H1182" s="4"/>
      <c r="I1182" s="4"/>
      <c r="J1182" s="4"/>
      <c r="K1182" s="4"/>
      <c r="L1182" s="4"/>
      <c r="M1182" s="4"/>
      <c r="N1182" s="4"/>
      <c r="O1182" s="4"/>
      <c r="P1182" s="4"/>
      <c r="Q1182" s="4"/>
      <c r="R1182" s="4"/>
      <c r="S1182" s="4"/>
      <c r="T1182" s="4"/>
      <c r="U1182" s="4"/>
      <c r="V1182" s="4"/>
      <c r="W1182" s="4"/>
      <c r="X1182" s="4"/>
      <c r="Y1182" s="4"/>
      <c r="Z1182" s="4"/>
    </row>
    <row r="1183" spans="1:26" ht="15.75" customHeight="1" x14ac:dyDescent="0.2">
      <c r="A1183" s="1" t="s">
        <v>2357</v>
      </c>
      <c r="B1183" s="1" t="s">
        <v>2358</v>
      </c>
      <c r="C1183" s="5" t="str">
        <f ca="1">IFERROR(__xludf.DUMMYFUNCTION("REGEXEXTRACT($B1183, $E$2)"),"trevecca")</f>
        <v>trevecca</v>
      </c>
      <c r="E1183" s="4"/>
      <c r="F1183" s="4"/>
      <c r="G1183" s="4"/>
      <c r="H1183" s="4"/>
      <c r="I1183" s="4"/>
      <c r="J1183" s="4"/>
      <c r="K1183" s="4"/>
      <c r="L1183" s="4"/>
      <c r="M1183" s="4"/>
      <c r="N1183" s="4"/>
      <c r="O1183" s="4"/>
      <c r="P1183" s="4"/>
      <c r="Q1183" s="4"/>
      <c r="R1183" s="4"/>
      <c r="S1183" s="4"/>
      <c r="T1183" s="4"/>
      <c r="U1183" s="4"/>
      <c r="V1183" s="4"/>
      <c r="W1183" s="4"/>
      <c r="X1183" s="4"/>
      <c r="Y1183" s="4"/>
      <c r="Z1183" s="4"/>
    </row>
    <row r="1184" spans="1:26" ht="15.75" customHeight="1" x14ac:dyDescent="0.2">
      <c r="A1184" s="1" t="s">
        <v>2359</v>
      </c>
      <c r="B1184" s="1" t="s">
        <v>2360</v>
      </c>
      <c r="C1184" s="5" t="str">
        <f ca="1">IFERROR(__xludf.DUMMYFUNCTION("REGEXEXTRACT($B1184, $E$2)"),"trine")</f>
        <v>trine</v>
      </c>
      <c r="E1184" s="4"/>
      <c r="F1184" s="4"/>
      <c r="G1184" s="4"/>
      <c r="H1184" s="4"/>
      <c r="I1184" s="4"/>
      <c r="J1184" s="4"/>
      <c r="K1184" s="4"/>
      <c r="L1184" s="4"/>
      <c r="M1184" s="4"/>
      <c r="N1184" s="4"/>
      <c r="O1184" s="4"/>
      <c r="P1184" s="4"/>
      <c r="Q1184" s="4"/>
      <c r="R1184" s="4"/>
      <c r="S1184" s="4"/>
      <c r="T1184" s="4"/>
      <c r="U1184" s="4"/>
      <c r="V1184" s="4"/>
      <c r="W1184" s="4"/>
      <c r="X1184" s="4"/>
      <c r="Y1184" s="4"/>
      <c r="Z1184" s="4"/>
    </row>
    <row r="1185" spans="1:26" ht="15.75" customHeight="1" x14ac:dyDescent="0.2">
      <c r="A1185" s="1" t="s">
        <v>2361</v>
      </c>
      <c r="B1185" s="1" t="s">
        <v>2362</v>
      </c>
      <c r="C1185" s="5" t="str">
        <f ca="1">IFERROR(__xludf.DUMMYFUNCTION("REGEXEXTRACT($B1185, $E$2)"),"tbc")</f>
        <v>tbc</v>
      </c>
      <c r="E1185" s="4"/>
      <c r="F1185" s="4"/>
      <c r="G1185" s="4"/>
      <c r="H1185" s="4"/>
      <c r="I1185" s="4"/>
      <c r="J1185" s="4"/>
      <c r="K1185" s="4"/>
      <c r="L1185" s="4"/>
      <c r="M1185" s="4"/>
      <c r="N1185" s="4"/>
      <c r="O1185" s="4"/>
      <c r="P1185" s="4"/>
      <c r="Q1185" s="4"/>
      <c r="R1185" s="4"/>
      <c r="S1185" s="4"/>
      <c r="T1185" s="4"/>
      <c r="U1185" s="4"/>
      <c r="V1185" s="4"/>
      <c r="W1185" s="4"/>
      <c r="X1185" s="4"/>
      <c r="Y1185" s="4"/>
      <c r="Z1185" s="4"/>
    </row>
    <row r="1186" spans="1:26" ht="15.75" customHeight="1" x14ac:dyDescent="0.2">
      <c r="A1186" s="1" t="s">
        <v>2363</v>
      </c>
      <c r="B1186" s="1" t="s">
        <v>2364</v>
      </c>
      <c r="C1186" s="5" t="str">
        <f ca="1">IFERROR(__xludf.DUMMYFUNCTION("REGEXEXTRACT($B1186, $E$2)"),"trnty")</f>
        <v>trnty</v>
      </c>
      <c r="E1186" s="4"/>
      <c r="F1186" s="4"/>
      <c r="G1186" s="4"/>
      <c r="H1186" s="4"/>
      <c r="I1186" s="4"/>
      <c r="J1186" s="4"/>
      <c r="K1186" s="4"/>
      <c r="L1186" s="4"/>
      <c r="M1186" s="4"/>
      <c r="N1186" s="4"/>
      <c r="O1186" s="4"/>
      <c r="P1186" s="4"/>
      <c r="Q1186" s="4"/>
      <c r="R1186" s="4"/>
      <c r="S1186" s="4"/>
      <c r="T1186" s="4"/>
      <c r="U1186" s="4"/>
      <c r="V1186" s="4"/>
      <c r="W1186" s="4"/>
      <c r="X1186" s="4"/>
      <c r="Y1186" s="4"/>
      <c r="Z1186" s="4"/>
    </row>
    <row r="1187" spans="1:26" ht="15.75" customHeight="1" x14ac:dyDescent="0.2">
      <c r="A1187" s="1" t="s">
        <v>2365</v>
      </c>
      <c r="B1187" s="1" t="s">
        <v>2366</v>
      </c>
      <c r="C1187" s="5" t="str">
        <f ca="1">IFERROR(__xludf.DUMMYFUNCTION("REGEXEXTRACT($B1187, $E$2)"),"trincoll")</f>
        <v>trincoll</v>
      </c>
      <c r="E1187" s="4"/>
      <c r="F1187" s="4"/>
      <c r="G1187" s="4"/>
      <c r="H1187" s="4"/>
      <c r="I1187" s="4"/>
      <c r="J1187" s="4"/>
      <c r="K1187" s="4"/>
      <c r="L1187" s="4"/>
      <c r="M1187" s="4"/>
      <c r="N1187" s="4"/>
      <c r="O1187" s="4"/>
      <c r="P1187" s="4"/>
      <c r="Q1187" s="4"/>
      <c r="R1187" s="4"/>
      <c r="S1187" s="4"/>
      <c r="T1187" s="4"/>
      <c r="U1187" s="4"/>
      <c r="V1187" s="4"/>
      <c r="W1187" s="4"/>
      <c r="X1187" s="4"/>
      <c r="Y1187" s="4"/>
      <c r="Z1187" s="4"/>
    </row>
    <row r="1188" spans="1:26" ht="15.75" customHeight="1" x14ac:dyDescent="0.2">
      <c r="A1188" s="1" t="s">
        <v>2367</v>
      </c>
      <c r="B1188" s="1" t="s">
        <v>2368</v>
      </c>
      <c r="C1188" s="5" t="str">
        <f ca="1">IFERROR(__xludf.DUMMYFUNCTION("REGEXEXTRACT($B1188, $E$2)"),"trinitycollege")</f>
        <v>trinitycollege</v>
      </c>
      <c r="E1188" s="4"/>
      <c r="F1188" s="4"/>
      <c r="G1188" s="4"/>
      <c r="H1188" s="4"/>
      <c r="I1188" s="4"/>
      <c r="J1188" s="4"/>
      <c r="K1188" s="4"/>
      <c r="L1188" s="4"/>
      <c r="M1188" s="4"/>
      <c r="N1188" s="4"/>
      <c r="O1188" s="4"/>
      <c r="P1188" s="4"/>
      <c r="Q1188" s="4"/>
      <c r="R1188" s="4"/>
      <c r="S1188" s="4"/>
      <c r="T1188" s="4"/>
      <c r="U1188" s="4"/>
      <c r="V1188" s="4"/>
      <c r="W1188" s="4"/>
      <c r="X1188" s="4"/>
      <c r="Y1188" s="4"/>
      <c r="Z1188" s="4"/>
    </row>
    <row r="1189" spans="1:26" ht="15.75" customHeight="1" x14ac:dyDescent="0.2">
      <c r="A1189" s="1" t="s">
        <v>2369</v>
      </c>
      <c r="B1189" s="1" t="s">
        <v>2370</v>
      </c>
      <c r="C1189" s="5" t="str">
        <f ca="1">IFERROR(__xludf.DUMMYFUNCTION("REGEXEXTRACT($B1189, $E$2)"),"trinitycollegeqc")</f>
        <v>trinitycollegeqc</v>
      </c>
      <c r="E1189" s="4"/>
      <c r="F1189" s="4"/>
      <c r="G1189" s="4"/>
      <c r="H1189" s="4"/>
      <c r="I1189" s="4"/>
      <c r="J1189" s="4"/>
      <c r="K1189" s="4"/>
      <c r="L1189" s="4"/>
      <c r="M1189" s="4"/>
      <c r="N1189" s="4"/>
      <c r="O1189" s="4"/>
      <c r="P1189" s="4"/>
      <c r="Q1189" s="4"/>
      <c r="R1189" s="4"/>
      <c r="S1189" s="4"/>
      <c r="T1189" s="4"/>
      <c r="U1189" s="4"/>
      <c r="V1189" s="4"/>
      <c r="W1189" s="4"/>
      <c r="X1189" s="4"/>
      <c r="Y1189" s="4"/>
      <c r="Z1189" s="4"/>
    </row>
    <row r="1190" spans="1:26" ht="15.75" customHeight="1" x14ac:dyDescent="0.2">
      <c r="A1190" s="1" t="s">
        <v>2371</v>
      </c>
      <c r="B1190" s="1" t="s">
        <v>2372</v>
      </c>
      <c r="C1190" s="5" t="str">
        <f ca="1">IFERROR(__xludf.DUMMYFUNCTION("REGEXEXTRACT($B1190, $E$2)"),"tiu")</f>
        <v>tiu</v>
      </c>
      <c r="E1190" s="4"/>
      <c r="F1190" s="4"/>
      <c r="G1190" s="4"/>
      <c r="H1190" s="4"/>
      <c r="I1190" s="4"/>
      <c r="J1190" s="4"/>
      <c r="K1190" s="4"/>
      <c r="L1190" s="4"/>
      <c r="M1190" s="4"/>
      <c r="N1190" s="4"/>
      <c r="O1190" s="4"/>
      <c r="P1190" s="4"/>
      <c r="Q1190" s="4"/>
      <c r="R1190" s="4"/>
      <c r="S1190" s="4"/>
      <c r="T1190" s="4"/>
      <c r="U1190" s="4"/>
      <c r="V1190" s="4"/>
      <c r="W1190" s="4"/>
      <c r="X1190" s="4"/>
      <c r="Y1190" s="4"/>
      <c r="Z1190" s="4"/>
    </row>
    <row r="1191" spans="1:26" ht="15.75" customHeight="1" x14ac:dyDescent="0.2">
      <c r="A1191" s="1" t="s">
        <v>2373</v>
      </c>
      <c r="B1191" s="1" t="s">
        <v>2374</v>
      </c>
      <c r="C1191" s="5" t="str">
        <f ca="1">IFERROR(__xludf.DUMMYFUNCTION("REGEXEXTRACT($B1191, $E$2)"),"trinity")</f>
        <v>trinity</v>
      </c>
      <c r="E1191" s="4"/>
      <c r="F1191" s="4"/>
      <c r="G1191" s="4"/>
      <c r="H1191" s="4"/>
      <c r="I1191" s="4"/>
      <c r="J1191" s="4"/>
      <c r="K1191" s="4"/>
      <c r="L1191" s="4"/>
      <c r="M1191" s="4"/>
      <c r="N1191" s="4"/>
      <c r="O1191" s="4"/>
      <c r="P1191" s="4"/>
      <c r="Q1191" s="4"/>
      <c r="R1191" s="4"/>
      <c r="S1191" s="4"/>
      <c r="T1191" s="4"/>
      <c r="U1191" s="4"/>
      <c r="V1191" s="4"/>
      <c r="W1191" s="4"/>
      <c r="X1191" s="4"/>
      <c r="Y1191" s="4"/>
      <c r="Z1191" s="4"/>
    </row>
    <row r="1192" spans="1:26" ht="15.75" customHeight="1" x14ac:dyDescent="0.2">
      <c r="A1192" s="1" t="s">
        <v>2375</v>
      </c>
      <c r="B1192" s="1" t="s">
        <v>2376</v>
      </c>
      <c r="C1192" s="5" t="str">
        <f ca="1">IFERROR(__xludf.DUMMYFUNCTION("REGEXEXTRACT($B1192, $E$2)"),"trinitydc")</f>
        <v>trinitydc</v>
      </c>
      <c r="E1192" s="4"/>
      <c r="F1192" s="4"/>
      <c r="G1192" s="4"/>
      <c r="H1192" s="4"/>
      <c r="I1192" s="4"/>
      <c r="J1192" s="4"/>
      <c r="K1192" s="4"/>
      <c r="L1192" s="4"/>
      <c r="M1192" s="4"/>
      <c r="N1192" s="4"/>
      <c r="O1192" s="4"/>
      <c r="P1192" s="4"/>
      <c r="Q1192" s="4"/>
      <c r="R1192" s="4"/>
      <c r="S1192" s="4"/>
      <c r="T1192" s="4"/>
      <c r="U1192" s="4"/>
      <c r="V1192" s="4"/>
      <c r="W1192" s="4"/>
      <c r="X1192" s="4"/>
      <c r="Y1192" s="4"/>
      <c r="Z1192" s="4"/>
    </row>
    <row r="1193" spans="1:26" ht="15.75" customHeight="1" x14ac:dyDescent="0.2">
      <c r="A1193" s="1" t="s">
        <v>2377</v>
      </c>
      <c r="B1193" s="1" t="s">
        <v>2378</v>
      </c>
      <c r="C1193" s="5" t="str">
        <f ca="1">IFERROR(__xludf.DUMMYFUNCTION("REGEXEXTRACT($B1193, $E$2)"),"troy")</f>
        <v>troy</v>
      </c>
      <c r="E1193" s="4"/>
      <c r="F1193" s="4"/>
      <c r="G1193" s="4"/>
      <c r="H1193" s="4"/>
      <c r="I1193" s="4"/>
      <c r="J1193" s="4"/>
      <c r="K1193" s="4"/>
      <c r="L1193" s="4"/>
      <c r="M1193" s="4"/>
      <c r="N1193" s="4"/>
      <c r="O1193" s="4"/>
      <c r="P1193" s="4"/>
      <c r="Q1193" s="4"/>
      <c r="R1193" s="4"/>
      <c r="S1193" s="4"/>
      <c r="T1193" s="4"/>
      <c r="U1193" s="4"/>
      <c r="V1193" s="4"/>
      <c r="W1193" s="4"/>
      <c r="X1193" s="4"/>
      <c r="Y1193" s="4"/>
      <c r="Z1193" s="4"/>
    </row>
    <row r="1194" spans="1:26" ht="15.75" customHeight="1" x14ac:dyDescent="0.2">
      <c r="A1194" s="1" t="s">
        <v>2379</v>
      </c>
      <c r="B1194" s="1" t="s">
        <v>2380</v>
      </c>
      <c r="C1194" s="5" t="str">
        <f ca="1">IFERROR(__xludf.DUMMYFUNCTION("REGEXEXTRACT($B1194, $E$2)"),"truett")</f>
        <v>truett</v>
      </c>
      <c r="E1194" s="4"/>
      <c r="F1194" s="4"/>
      <c r="G1194" s="4"/>
      <c r="H1194" s="4"/>
      <c r="I1194" s="4"/>
      <c r="J1194" s="4"/>
      <c r="K1194" s="4"/>
      <c r="L1194" s="4"/>
      <c r="M1194" s="4"/>
      <c r="N1194" s="4"/>
      <c r="O1194" s="4"/>
      <c r="P1194" s="4"/>
      <c r="Q1194" s="4"/>
      <c r="R1194" s="4"/>
      <c r="S1194" s="4"/>
      <c r="T1194" s="4"/>
      <c r="U1194" s="4"/>
      <c r="V1194" s="4"/>
      <c r="W1194" s="4"/>
      <c r="X1194" s="4"/>
      <c r="Y1194" s="4"/>
      <c r="Z1194" s="4"/>
    </row>
    <row r="1195" spans="1:26" ht="15.75" customHeight="1" x14ac:dyDescent="0.2">
      <c r="A1195" s="1" t="s">
        <v>2381</v>
      </c>
      <c r="B1195" s="1" t="s">
        <v>2382</v>
      </c>
      <c r="C1195" s="5" t="str">
        <f ca="1">IFERROR(__xludf.DUMMYFUNCTION("REGEXEXTRACT($B1195, $E$2)"),"truman")</f>
        <v>truman</v>
      </c>
      <c r="E1195" s="4"/>
      <c r="F1195" s="4"/>
      <c r="G1195" s="4"/>
      <c r="H1195" s="4"/>
      <c r="I1195" s="4"/>
      <c r="J1195" s="4"/>
      <c r="K1195" s="4"/>
      <c r="L1195" s="4"/>
      <c r="M1195" s="4"/>
      <c r="N1195" s="4"/>
      <c r="O1195" s="4"/>
      <c r="P1195" s="4"/>
      <c r="Q1195" s="4"/>
      <c r="R1195" s="4"/>
      <c r="S1195" s="4"/>
      <c r="T1195" s="4"/>
      <c r="U1195" s="4"/>
      <c r="V1195" s="4"/>
      <c r="W1195" s="4"/>
      <c r="X1195" s="4"/>
      <c r="Y1195" s="4"/>
      <c r="Z1195" s="4"/>
    </row>
    <row r="1196" spans="1:26" ht="15.75" customHeight="1" x14ac:dyDescent="0.2">
      <c r="A1196" s="1" t="s">
        <v>2383</v>
      </c>
      <c r="B1196" s="1" t="s">
        <v>2384</v>
      </c>
      <c r="C1196" s="5" t="str">
        <f ca="1">IFERROR(__xludf.DUMMYFUNCTION("REGEXEXTRACT($B1196, $E$2)"),"tulane")</f>
        <v>tulane</v>
      </c>
      <c r="E1196" s="4"/>
      <c r="F1196" s="4"/>
      <c r="G1196" s="4"/>
      <c r="H1196" s="4"/>
      <c r="I1196" s="4"/>
      <c r="J1196" s="4"/>
      <c r="K1196" s="4"/>
      <c r="L1196" s="4"/>
      <c r="M1196" s="4"/>
      <c r="N1196" s="4"/>
      <c r="O1196" s="4"/>
      <c r="P1196" s="4"/>
      <c r="Q1196" s="4"/>
      <c r="R1196" s="4"/>
      <c r="S1196" s="4"/>
      <c r="T1196" s="4"/>
      <c r="U1196" s="4"/>
      <c r="V1196" s="4"/>
      <c r="W1196" s="4"/>
      <c r="X1196" s="4"/>
      <c r="Y1196" s="4"/>
      <c r="Z1196" s="4"/>
    </row>
    <row r="1197" spans="1:26" ht="15.75" customHeight="1" x14ac:dyDescent="0.2">
      <c r="A1197" s="1" t="s">
        <v>2385</v>
      </c>
      <c r="B1197" s="1" t="s">
        <v>2386</v>
      </c>
      <c r="C1197" s="5" t="str">
        <f ca="1">IFERROR(__xludf.DUMMYFUNCTION("REGEXEXTRACT($B1197, $E$2)"),"tusculum")</f>
        <v>tusculum</v>
      </c>
      <c r="E1197" s="4"/>
      <c r="F1197" s="4"/>
      <c r="G1197" s="4"/>
      <c r="H1197" s="4"/>
      <c r="I1197" s="4"/>
      <c r="J1197" s="4"/>
      <c r="K1197" s="4"/>
      <c r="L1197" s="4"/>
      <c r="M1197" s="4"/>
      <c r="N1197" s="4"/>
      <c r="O1197" s="4"/>
      <c r="P1197" s="4"/>
      <c r="Q1197" s="4"/>
      <c r="R1197" s="4"/>
      <c r="S1197" s="4"/>
      <c r="T1197" s="4"/>
      <c r="U1197" s="4"/>
      <c r="V1197" s="4"/>
      <c r="W1197" s="4"/>
      <c r="X1197" s="4"/>
      <c r="Y1197" s="4"/>
      <c r="Z1197" s="4"/>
    </row>
    <row r="1198" spans="1:26" ht="15.75" customHeight="1" x14ac:dyDescent="0.2">
      <c r="A1198" s="1" t="s">
        <v>2387</v>
      </c>
      <c r="B1198" s="1" t="s">
        <v>2388</v>
      </c>
      <c r="C1198" s="5" t="str">
        <f ca="1">IFERROR(__xludf.DUMMYFUNCTION("REGEXEXTRACT($B1198, $E$2)"),"tuskegee")</f>
        <v>tuskegee</v>
      </c>
      <c r="E1198" s="4"/>
      <c r="F1198" s="4"/>
      <c r="G1198" s="4"/>
      <c r="H1198" s="4"/>
      <c r="I1198" s="4"/>
      <c r="J1198" s="4"/>
      <c r="K1198" s="4"/>
      <c r="L1198" s="4"/>
      <c r="M1198" s="4"/>
      <c r="N1198" s="4"/>
      <c r="O1198" s="4"/>
      <c r="P1198" s="4"/>
      <c r="Q1198" s="4"/>
      <c r="R1198" s="4"/>
      <c r="S1198" s="4"/>
      <c r="T1198" s="4"/>
      <c r="U1198" s="4"/>
      <c r="V1198" s="4"/>
      <c r="W1198" s="4"/>
      <c r="X1198" s="4"/>
      <c r="Y1198" s="4"/>
      <c r="Z1198" s="4"/>
    </row>
    <row r="1199" spans="1:26" ht="15.75" customHeight="1" x14ac:dyDescent="0.2">
      <c r="A1199" s="1" t="s">
        <v>2389</v>
      </c>
      <c r="B1199" s="1" t="s">
        <v>2390</v>
      </c>
      <c r="C1199" s="5" t="str">
        <f ca="1">IFERROR(__xludf.DUMMYFUNCTION("REGEXEXTRACT($B1199, $E$2)"),"union")</f>
        <v>union</v>
      </c>
      <c r="E1199" s="4"/>
      <c r="F1199" s="4"/>
      <c r="G1199" s="4"/>
      <c r="H1199" s="4"/>
      <c r="I1199" s="4"/>
      <c r="J1199" s="4"/>
      <c r="K1199" s="4"/>
      <c r="L1199" s="4"/>
      <c r="M1199" s="4"/>
      <c r="N1199" s="4"/>
      <c r="O1199" s="4"/>
      <c r="P1199" s="4"/>
      <c r="Q1199" s="4"/>
      <c r="R1199" s="4"/>
      <c r="S1199" s="4"/>
      <c r="T1199" s="4"/>
      <c r="U1199" s="4"/>
      <c r="V1199" s="4"/>
      <c r="W1199" s="4"/>
      <c r="X1199" s="4"/>
      <c r="Y1199" s="4"/>
      <c r="Z1199" s="4"/>
    </row>
    <row r="1200" spans="1:26" ht="15.75" customHeight="1" x14ac:dyDescent="0.2">
      <c r="A1200" s="1" t="s">
        <v>2389</v>
      </c>
      <c r="B1200" s="1" t="s">
        <v>2391</v>
      </c>
      <c r="C1200" s="5" t="str">
        <f ca="1">IFERROR(__xludf.DUMMYFUNCTION("REGEXEXTRACT($B1200, $E$2)"),"unionky")</f>
        <v>unionky</v>
      </c>
      <c r="E1200" s="4"/>
      <c r="F1200" s="4"/>
      <c r="G1200" s="4"/>
      <c r="H1200" s="4"/>
      <c r="I1200" s="4"/>
      <c r="J1200" s="4"/>
      <c r="K1200" s="4"/>
      <c r="L1200" s="4"/>
      <c r="M1200" s="4"/>
      <c r="N1200" s="4"/>
      <c r="O1200" s="4"/>
      <c r="P1200" s="4"/>
      <c r="Q1200" s="4"/>
      <c r="R1200" s="4"/>
      <c r="S1200" s="4"/>
      <c r="T1200" s="4"/>
      <c r="U1200" s="4"/>
      <c r="V1200" s="4"/>
      <c r="W1200" s="4"/>
      <c r="X1200" s="4"/>
      <c r="Y1200" s="4"/>
      <c r="Z1200" s="4"/>
    </row>
    <row r="1201" spans="1:26" ht="15.75" customHeight="1" x14ac:dyDescent="0.2">
      <c r="A1201" s="1" t="s">
        <v>2389</v>
      </c>
      <c r="B1201" s="1" t="s">
        <v>2392</v>
      </c>
      <c r="C1201" s="5" t="str">
        <f ca="1">IFERROR(__xludf.DUMMYFUNCTION("REGEXEXTRACT($B1201, $E$2)"),"ucollege")</f>
        <v>ucollege</v>
      </c>
      <c r="E1201" s="4"/>
      <c r="F1201" s="4"/>
      <c r="G1201" s="4"/>
      <c r="H1201" s="4"/>
      <c r="I1201" s="4"/>
      <c r="J1201" s="4"/>
      <c r="K1201" s="4"/>
      <c r="L1201" s="4"/>
      <c r="M1201" s="4"/>
      <c r="N1201" s="4"/>
      <c r="O1201" s="4"/>
      <c r="P1201" s="4"/>
      <c r="Q1201" s="4"/>
      <c r="R1201" s="4"/>
      <c r="S1201" s="4"/>
      <c r="T1201" s="4"/>
      <c r="U1201" s="4"/>
      <c r="V1201" s="4"/>
      <c r="W1201" s="4"/>
      <c r="X1201" s="4"/>
      <c r="Y1201" s="4"/>
      <c r="Z1201" s="4"/>
    </row>
    <row r="1202" spans="1:26" ht="15.75" customHeight="1" x14ac:dyDescent="0.2">
      <c r="A1202" s="1" t="s">
        <v>2393</v>
      </c>
      <c r="B1202" s="1" t="s">
        <v>2394</v>
      </c>
      <c r="C1202" s="5" t="str">
        <f ca="1">IFERROR(__xludf.DUMMYFUNCTION("REGEXEXTRACT($B1202, $E$2)"),"myunion")</f>
        <v>myunion</v>
      </c>
      <c r="E1202" s="4"/>
      <c r="F1202" s="4"/>
      <c r="G1202" s="4"/>
      <c r="H1202" s="4"/>
      <c r="I1202" s="4"/>
      <c r="J1202" s="4"/>
      <c r="K1202" s="4"/>
      <c r="L1202" s="4"/>
      <c r="M1202" s="4"/>
      <c r="N1202" s="4"/>
      <c r="O1202" s="4"/>
      <c r="P1202" s="4"/>
      <c r="Q1202" s="4"/>
      <c r="R1202" s="4"/>
      <c r="S1202" s="4"/>
      <c r="T1202" s="4"/>
      <c r="U1202" s="4"/>
      <c r="V1202" s="4"/>
      <c r="W1202" s="4"/>
      <c r="X1202" s="4"/>
      <c r="Y1202" s="4"/>
      <c r="Z1202" s="4"/>
    </row>
    <row r="1203" spans="1:26" ht="15.75" customHeight="1" x14ac:dyDescent="0.2">
      <c r="A1203" s="1" t="s">
        <v>2395</v>
      </c>
      <c r="B1203" s="1" t="s">
        <v>2396</v>
      </c>
      <c r="C1203" s="5" t="str">
        <f ca="1">IFERROR(__xludf.DUMMYFUNCTION("REGEXEXTRACT($B1203, $E$2)"),"uu")</f>
        <v>uu</v>
      </c>
      <c r="E1203" s="4"/>
      <c r="F1203" s="4"/>
      <c r="G1203" s="4"/>
      <c r="H1203" s="4"/>
      <c r="I1203" s="4"/>
      <c r="J1203" s="4"/>
      <c r="K1203" s="4"/>
      <c r="L1203" s="4"/>
      <c r="M1203" s="4"/>
      <c r="N1203" s="4"/>
      <c r="O1203" s="4"/>
      <c r="P1203" s="4"/>
      <c r="Q1203" s="4"/>
      <c r="R1203" s="4"/>
      <c r="S1203" s="4"/>
      <c r="T1203" s="4"/>
      <c r="U1203" s="4"/>
      <c r="V1203" s="4"/>
      <c r="W1203" s="4"/>
      <c r="X1203" s="4"/>
      <c r="Y1203" s="4"/>
      <c r="Z1203" s="4"/>
    </row>
    <row r="1204" spans="1:26" ht="15.75" customHeight="1" x14ac:dyDescent="0.2">
      <c r="A1204" s="1" t="s">
        <v>2397</v>
      </c>
      <c r="B1204" s="1" t="s">
        <v>2398</v>
      </c>
      <c r="C1204" s="5" t="str">
        <f ca="1">IFERROR(__xludf.DUMMYFUNCTION("REGEXEXTRACT($B1204, $E$2)"),"usafa")</f>
        <v>usafa</v>
      </c>
      <c r="E1204" s="4"/>
      <c r="F1204" s="4"/>
      <c r="G1204" s="4"/>
      <c r="H1204" s="4"/>
      <c r="I1204" s="4"/>
      <c r="J1204" s="4"/>
      <c r="K1204" s="4"/>
      <c r="L1204" s="4"/>
      <c r="M1204" s="4"/>
      <c r="N1204" s="4"/>
      <c r="O1204" s="4"/>
      <c r="P1204" s="4"/>
      <c r="Q1204" s="4"/>
      <c r="R1204" s="4"/>
      <c r="S1204" s="4"/>
      <c r="T1204" s="4"/>
      <c r="U1204" s="4"/>
      <c r="V1204" s="4"/>
      <c r="W1204" s="4"/>
      <c r="X1204" s="4"/>
      <c r="Y1204" s="4"/>
      <c r="Z1204" s="4"/>
    </row>
    <row r="1205" spans="1:26" ht="15.75" customHeight="1" x14ac:dyDescent="0.2">
      <c r="A1205" s="1" t="s">
        <v>2399</v>
      </c>
      <c r="B1205" s="1" t="s">
        <v>2400</v>
      </c>
      <c r="C1205" s="5" t="str">
        <f ca="1">IFERROR(__xludf.DUMMYFUNCTION("REGEXEXTRACT($B1205, $E$2)"),"uscga")</f>
        <v>uscga</v>
      </c>
      <c r="E1205" s="4"/>
      <c r="F1205" s="4"/>
      <c r="G1205" s="4"/>
      <c r="H1205" s="4"/>
      <c r="I1205" s="4"/>
      <c r="J1205" s="4"/>
      <c r="K1205" s="4"/>
      <c r="L1205" s="4"/>
      <c r="M1205" s="4"/>
      <c r="N1205" s="4"/>
      <c r="O1205" s="4"/>
      <c r="P1205" s="4"/>
      <c r="Q1205" s="4"/>
      <c r="R1205" s="4"/>
      <c r="S1205" s="4"/>
      <c r="T1205" s="4"/>
      <c r="U1205" s="4"/>
      <c r="V1205" s="4"/>
      <c r="W1205" s="4"/>
      <c r="X1205" s="4"/>
      <c r="Y1205" s="4"/>
      <c r="Z1205" s="4"/>
    </row>
    <row r="1206" spans="1:26" ht="15.75" customHeight="1" x14ac:dyDescent="0.2">
      <c r="A1206" s="1" t="s">
        <v>2401</v>
      </c>
      <c r="B1206" s="1" t="s">
        <v>2402</v>
      </c>
      <c r="C1206" s="5" t="str">
        <f ca="1">IFERROR(__xludf.DUMMYFUNCTION("REGEXEXTRACT($B1206, $E$2)"),"usmma")</f>
        <v>usmma</v>
      </c>
      <c r="E1206" s="4"/>
      <c r="F1206" s="4"/>
      <c r="G1206" s="4"/>
      <c r="H1206" s="4"/>
      <c r="I1206" s="4"/>
      <c r="J1206" s="4"/>
      <c r="K1206" s="4"/>
      <c r="L1206" s="4"/>
      <c r="M1206" s="4"/>
      <c r="N1206" s="4"/>
      <c r="O1206" s="4"/>
      <c r="P1206" s="4"/>
      <c r="Q1206" s="4"/>
      <c r="R1206" s="4"/>
      <c r="S1206" s="4"/>
      <c r="T1206" s="4"/>
      <c r="U1206" s="4"/>
      <c r="V1206" s="4"/>
      <c r="W1206" s="4"/>
      <c r="X1206" s="4"/>
      <c r="Y1206" s="4"/>
      <c r="Z1206" s="4"/>
    </row>
    <row r="1207" spans="1:26" ht="15.75" customHeight="1" x14ac:dyDescent="0.2">
      <c r="A1207" s="1" t="s">
        <v>2403</v>
      </c>
      <c r="B1207" s="1" t="s">
        <v>2404</v>
      </c>
      <c r="C1207" s="5" t="str">
        <f ca="1">IFERROR(__xludf.DUMMYFUNCTION("REGEXEXTRACT($B1207, $E$2)"),"usma")</f>
        <v>usma</v>
      </c>
      <c r="E1207" s="4"/>
      <c r="F1207" s="4"/>
      <c r="G1207" s="4"/>
      <c r="H1207" s="4"/>
      <c r="I1207" s="4"/>
      <c r="J1207" s="4"/>
      <c r="K1207" s="4"/>
      <c r="L1207" s="4"/>
      <c r="M1207" s="4"/>
      <c r="N1207" s="4"/>
      <c r="O1207" s="4"/>
      <c r="P1207" s="4"/>
      <c r="Q1207" s="4"/>
      <c r="R1207" s="4"/>
      <c r="S1207" s="4"/>
      <c r="T1207" s="4"/>
      <c r="U1207" s="4"/>
      <c r="V1207" s="4"/>
      <c r="W1207" s="4"/>
      <c r="X1207" s="4"/>
      <c r="Y1207" s="4"/>
      <c r="Z1207" s="4"/>
    </row>
    <row r="1208" spans="1:26" ht="15.75" customHeight="1" x14ac:dyDescent="0.2">
      <c r="A1208" s="1" t="s">
        <v>2405</v>
      </c>
      <c r="B1208" s="1" t="s">
        <v>2406</v>
      </c>
      <c r="C1208" s="5" t="str">
        <f ca="1">IFERROR(__xludf.DUMMYFUNCTION("REGEXEXTRACT($B1208, $E$2)"),"usna")</f>
        <v>usna</v>
      </c>
      <c r="E1208" s="4"/>
      <c r="F1208" s="4"/>
      <c r="G1208" s="4"/>
      <c r="H1208" s="4"/>
      <c r="I1208" s="4"/>
      <c r="J1208" s="4"/>
      <c r="K1208" s="4"/>
      <c r="L1208" s="4"/>
      <c r="M1208" s="4"/>
      <c r="N1208" s="4"/>
      <c r="O1208" s="4"/>
      <c r="P1208" s="4"/>
      <c r="Q1208" s="4"/>
      <c r="R1208" s="4"/>
      <c r="S1208" s="4"/>
      <c r="T1208" s="4"/>
      <c r="U1208" s="4"/>
      <c r="V1208" s="4"/>
      <c r="W1208" s="4"/>
      <c r="X1208" s="4"/>
      <c r="Y1208" s="4"/>
      <c r="Z1208" s="4"/>
    </row>
    <row r="1209" spans="1:26" ht="15.75" customHeight="1" x14ac:dyDescent="0.2">
      <c r="A1209" s="1" t="s">
        <v>2407</v>
      </c>
      <c r="B1209" s="1" t="s">
        <v>2408</v>
      </c>
      <c r="C1209" s="5" t="str">
        <f ca="1">IFERROR(__xludf.DUMMYFUNCTION("REGEXEXTRACT($B1209, $E$2)"),"unity")</f>
        <v>unity</v>
      </c>
      <c r="E1209" s="4"/>
      <c r="F1209" s="4"/>
      <c r="G1209" s="4"/>
      <c r="H1209" s="4"/>
      <c r="I1209" s="4"/>
      <c r="J1209" s="4"/>
      <c r="K1209" s="4"/>
      <c r="L1209" s="4"/>
      <c r="M1209" s="4"/>
      <c r="N1209" s="4"/>
      <c r="O1209" s="4"/>
      <c r="P1209" s="4"/>
      <c r="Q1209" s="4"/>
      <c r="R1209" s="4"/>
      <c r="S1209" s="4"/>
      <c r="T1209" s="4"/>
      <c r="U1209" s="4"/>
      <c r="V1209" s="4"/>
      <c r="W1209" s="4"/>
      <c r="X1209" s="4"/>
      <c r="Y1209" s="4"/>
      <c r="Z1209" s="4"/>
    </row>
    <row r="1210" spans="1:26" ht="15.75" customHeight="1" x14ac:dyDescent="0.2">
      <c r="A1210" s="1" t="s">
        <v>2409</v>
      </c>
      <c r="B1210" s="1" t="s">
        <v>2410</v>
      </c>
      <c r="C1210" s="5" t="str">
        <f ca="1">IFERROR(__xludf.DUMMYFUNCTION("REGEXEXTRACT($B1210, $E$2)"),"uaa")</f>
        <v>uaa</v>
      </c>
      <c r="E1210" s="4"/>
      <c r="F1210" s="4"/>
      <c r="G1210" s="4"/>
      <c r="H1210" s="4"/>
      <c r="I1210" s="4"/>
      <c r="J1210" s="4"/>
      <c r="K1210" s="4"/>
      <c r="L1210" s="4"/>
      <c r="M1210" s="4"/>
      <c r="N1210" s="4"/>
      <c r="O1210" s="4"/>
      <c r="P1210" s="4"/>
      <c r="Q1210" s="4"/>
      <c r="R1210" s="4"/>
      <c r="S1210" s="4"/>
      <c r="T1210" s="4"/>
      <c r="U1210" s="4"/>
      <c r="V1210" s="4"/>
      <c r="W1210" s="4"/>
      <c r="X1210" s="4"/>
      <c r="Y1210" s="4"/>
      <c r="Z1210" s="4"/>
    </row>
    <row r="1211" spans="1:26" ht="15.75" customHeight="1" x14ac:dyDescent="0.2">
      <c r="A1211" s="1" t="s">
        <v>2411</v>
      </c>
      <c r="B1211" s="1" t="s">
        <v>2412</v>
      </c>
      <c r="C1211" s="5" t="str">
        <f ca="1">IFERROR(__xludf.DUMMYFUNCTION("REGEXEXTRACT($B1211, $E$2)"),"suagm")</f>
        <v>suagm</v>
      </c>
      <c r="E1211" s="4"/>
      <c r="F1211" s="4"/>
      <c r="G1211" s="4"/>
      <c r="H1211" s="4"/>
      <c r="I1211" s="4"/>
      <c r="J1211" s="4"/>
      <c r="K1211" s="4"/>
      <c r="L1211" s="4"/>
      <c r="M1211" s="4"/>
      <c r="N1211" s="4"/>
      <c r="O1211" s="4"/>
      <c r="P1211" s="4"/>
      <c r="Q1211" s="4"/>
      <c r="R1211" s="4"/>
      <c r="S1211" s="4"/>
      <c r="T1211" s="4"/>
      <c r="U1211" s="4"/>
      <c r="V1211" s="4"/>
      <c r="W1211" s="4"/>
      <c r="X1211" s="4"/>
      <c r="Y1211" s="4"/>
      <c r="Z1211" s="4"/>
    </row>
    <row r="1212" spans="1:26" ht="15.75" customHeight="1" x14ac:dyDescent="0.2">
      <c r="A1212" s="1" t="s">
        <v>2413</v>
      </c>
      <c r="B1212" s="1" t="s">
        <v>2414</v>
      </c>
      <c r="C1212" s="5" t="str">
        <f ca="1">IFERROR(__xludf.DUMMYFUNCTION("REGEXEXTRACT($B1212, $E$2)"),"sagrado")</f>
        <v>sagrado</v>
      </c>
      <c r="E1212" s="4"/>
      <c r="F1212" s="4"/>
      <c r="G1212" s="4"/>
      <c r="H1212" s="4"/>
      <c r="I1212" s="4"/>
      <c r="J1212" s="4"/>
      <c r="K1212" s="4"/>
      <c r="L1212" s="4"/>
      <c r="M1212" s="4"/>
      <c r="N1212" s="4"/>
      <c r="O1212" s="4"/>
      <c r="P1212" s="4"/>
      <c r="Q1212" s="4"/>
      <c r="R1212" s="4"/>
      <c r="S1212" s="4"/>
      <c r="T1212" s="4"/>
      <c r="U1212" s="4"/>
      <c r="V1212" s="4"/>
      <c r="W1212" s="4"/>
      <c r="X1212" s="4"/>
      <c r="Y1212" s="4"/>
      <c r="Z1212" s="4"/>
    </row>
    <row r="1213" spans="1:26" ht="15.75" customHeight="1" x14ac:dyDescent="0.2">
      <c r="A1213" s="1" t="s">
        <v>2415</v>
      </c>
      <c r="B1213" s="1" t="s">
        <v>2416</v>
      </c>
      <c r="C1213" s="5" t="str">
        <f ca="1">IFERROR(__xludf.DUMMYFUNCTION("REGEXEXTRACT($B1213, $E$2)"),"uat")</f>
        <v>uat</v>
      </c>
      <c r="E1213" s="4"/>
      <c r="F1213" s="4"/>
      <c r="G1213" s="4"/>
      <c r="H1213" s="4"/>
      <c r="I1213" s="4"/>
      <c r="J1213" s="4"/>
      <c r="K1213" s="4"/>
      <c r="L1213" s="4"/>
      <c r="M1213" s="4"/>
      <c r="N1213" s="4"/>
      <c r="O1213" s="4"/>
      <c r="P1213" s="4"/>
      <c r="Q1213" s="4"/>
      <c r="R1213" s="4"/>
      <c r="S1213" s="4"/>
      <c r="T1213" s="4"/>
      <c r="U1213" s="4"/>
      <c r="V1213" s="4"/>
      <c r="W1213" s="4"/>
      <c r="X1213" s="4"/>
      <c r="Y1213" s="4"/>
      <c r="Z1213" s="4"/>
    </row>
    <row r="1214" spans="1:26" ht="15.75" customHeight="1" x14ac:dyDescent="0.2">
      <c r="A1214" s="1" t="s">
        <v>2417</v>
      </c>
      <c r="B1214" s="1" t="s">
        <v>2418</v>
      </c>
      <c r="C1214" s="5" t="str">
        <f ca="1">IFERROR(__xludf.DUMMYFUNCTION("REGEXEXTRACT($B1214, $E$2)"),"uakron")</f>
        <v>uakron</v>
      </c>
      <c r="E1214" s="4"/>
      <c r="F1214" s="4"/>
      <c r="G1214" s="4"/>
      <c r="H1214" s="4"/>
      <c r="I1214" s="4"/>
      <c r="J1214" s="4"/>
      <c r="K1214" s="4"/>
      <c r="L1214" s="4"/>
      <c r="M1214" s="4"/>
      <c r="N1214" s="4"/>
      <c r="O1214" s="4"/>
      <c r="P1214" s="4"/>
      <c r="Q1214" s="4"/>
      <c r="R1214" s="4"/>
      <c r="S1214" s="4"/>
      <c r="T1214" s="4"/>
      <c r="U1214" s="4"/>
      <c r="V1214" s="4"/>
      <c r="W1214" s="4"/>
      <c r="X1214" s="4"/>
      <c r="Y1214" s="4"/>
      <c r="Z1214" s="4"/>
    </row>
    <row r="1215" spans="1:26" ht="15.75" customHeight="1" x14ac:dyDescent="0.2">
      <c r="A1215" s="1" t="s">
        <v>2419</v>
      </c>
      <c r="B1215" s="1" t="s">
        <v>2420</v>
      </c>
      <c r="C1215" s="5" t="str">
        <f ca="1">IFERROR(__xludf.DUMMYFUNCTION("REGEXEXTRACT($B1215, $E$2)"),"uab")</f>
        <v>uab</v>
      </c>
      <c r="E1215" s="4"/>
      <c r="F1215" s="4"/>
      <c r="G1215" s="4"/>
      <c r="H1215" s="4"/>
      <c r="I1215" s="4"/>
      <c r="J1215" s="4"/>
      <c r="K1215" s="4"/>
      <c r="L1215" s="4"/>
      <c r="M1215" s="4"/>
      <c r="N1215" s="4"/>
      <c r="O1215" s="4"/>
      <c r="P1215" s="4"/>
      <c r="Q1215" s="4"/>
      <c r="R1215" s="4"/>
      <c r="S1215" s="4"/>
      <c r="T1215" s="4"/>
      <c r="U1215" s="4"/>
      <c r="V1215" s="4"/>
      <c r="W1215" s="4"/>
      <c r="X1215" s="4"/>
      <c r="Y1215" s="4"/>
      <c r="Z1215" s="4"/>
    </row>
    <row r="1216" spans="1:26" ht="15.75" customHeight="1" x14ac:dyDescent="0.2">
      <c r="A1216" s="1" t="s">
        <v>2421</v>
      </c>
      <c r="B1216" s="1" t="s">
        <v>2422</v>
      </c>
      <c r="C1216" s="5" t="str">
        <f ca="1">IFERROR(__xludf.DUMMYFUNCTION("REGEXEXTRACT($B1216, $E$2)"),"alaska")</f>
        <v>alaska</v>
      </c>
      <c r="E1216" s="4"/>
      <c r="F1216" s="4"/>
      <c r="G1216" s="4"/>
      <c r="H1216" s="4"/>
      <c r="I1216" s="4"/>
      <c r="J1216" s="4"/>
      <c r="K1216" s="4"/>
      <c r="L1216" s="4"/>
      <c r="M1216" s="4"/>
      <c r="N1216" s="4"/>
      <c r="O1216" s="4"/>
      <c r="P1216" s="4"/>
      <c r="Q1216" s="4"/>
      <c r="R1216" s="4"/>
      <c r="S1216" s="4"/>
      <c r="T1216" s="4"/>
      <c r="U1216" s="4"/>
      <c r="V1216" s="4"/>
      <c r="W1216" s="4"/>
      <c r="X1216" s="4"/>
      <c r="Y1216" s="4"/>
      <c r="Z1216" s="4"/>
    </row>
    <row r="1217" spans="1:26" ht="15.75" customHeight="1" x14ac:dyDescent="0.2">
      <c r="A1217" s="1" t="s">
        <v>2423</v>
      </c>
      <c r="B1217" s="1" t="s">
        <v>2424</v>
      </c>
      <c r="C1217" s="5" t="str">
        <f ca="1">IFERROR(__xludf.DUMMYFUNCTION("REGEXEXTRACT($B1217, $E$2)"),"uaf")</f>
        <v>uaf</v>
      </c>
      <c r="E1217" s="4"/>
      <c r="F1217" s="4"/>
      <c r="G1217" s="4"/>
      <c r="H1217" s="4"/>
      <c r="I1217" s="4"/>
      <c r="J1217" s="4"/>
      <c r="K1217" s="4"/>
      <c r="L1217" s="4"/>
      <c r="M1217" s="4"/>
      <c r="N1217" s="4"/>
      <c r="O1217" s="4"/>
      <c r="P1217" s="4"/>
      <c r="Q1217" s="4"/>
      <c r="R1217" s="4"/>
      <c r="S1217" s="4"/>
      <c r="T1217" s="4"/>
      <c r="U1217" s="4"/>
      <c r="V1217" s="4"/>
      <c r="W1217" s="4"/>
      <c r="X1217" s="4"/>
      <c r="Y1217" s="4"/>
      <c r="Z1217" s="4"/>
    </row>
    <row r="1218" spans="1:26" ht="15.75" customHeight="1" x14ac:dyDescent="0.2">
      <c r="A1218" s="1" t="s">
        <v>2425</v>
      </c>
      <c r="B1218" s="1" t="s">
        <v>2426</v>
      </c>
      <c r="C1218" s="5" t="str">
        <f ca="1">IFERROR(__xludf.DUMMYFUNCTION("REGEXEXTRACT($B1218, $E$2)"),"arizona")</f>
        <v>arizona</v>
      </c>
      <c r="E1218" s="4"/>
      <c r="F1218" s="4"/>
      <c r="G1218" s="4"/>
      <c r="H1218" s="4"/>
      <c r="I1218" s="4"/>
      <c r="J1218" s="4"/>
      <c r="K1218" s="4"/>
      <c r="L1218" s="4"/>
      <c r="M1218" s="4"/>
      <c r="N1218" s="4"/>
      <c r="O1218" s="4"/>
      <c r="P1218" s="4"/>
      <c r="Q1218" s="4"/>
      <c r="R1218" s="4"/>
      <c r="S1218" s="4"/>
      <c r="T1218" s="4"/>
      <c r="U1218" s="4"/>
      <c r="V1218" s="4"/>
      <c r="W1218" s="4"/>
      <c r="X1218" s="4"/>
      <c r="Y1218" s="4"/>
      <c r="Z1218" s="4"/>
    </row>
    <row r="1219" spans="1:26" ht="15.75" customHeight="1" x14ac:dyDescent="0.2">
      <c r="A1219" s="1" t="s">
        <v>2427</v>
      </c>
      <c r="B1219" s="1" t="s">
        <v>2428</v>
      </c>
      <c r="C1219" s="5" t="str">
        <f ca="1">IFERROR(__xludf.DUMMYFUNCTION("REGEXEXTRACT($B1219, $E$2)"),"uark")</f>
        <v>uark</v>
      </c>
      <c r="E1219" s="4"/>
      <c r="F1219" s="4"/>
      <c r="G1219" s="4"/>
      <c r="H1219" s="4"/>
      <c r="I1219" s="4"/>
      <c r="J1219" s="4"/>
      <c r="K1219" s="4"/>
      <c r="L1219" s="4"/>
      <c r="M1219" s="4"/>
      <c r="N1219" s="4"/>
      <c r="O1219" s="4"/>
      <c r="P1219" s="4"/>
      <c r="Q1219" s="4"/>
      <c r="R1219" s="4"/>
      <c r="S1219" s="4"/>
      <c r="T1219" s="4"/>
      <c r="U1219" s="4"/>
      <c r="V1219" s="4"/>
      <c r="W1219" s="4"/>
      <c r="X1219" s="4"/>
      <c r="Y1219" s="4"/>
      <c r="Z1219" s="4"/>
    </row>
    <row r="1220" spans="1:26" ht="15.75" customHeight="1" x14ac:dyDescent="0.2">
      <c r="A1220" s="1" t="s">
        <v>2429</v>
      </c>
      <c r="B1220" s="1" t="s">
        <v>2430</v>
      </c>
      <c r="C1220" s="5" t="str">
        <f ca="1">IFERROR(__xludf.DUMMYFUNCTION("REGEXEXTRACT($B1220, $E$2)"),"uafs")</f>
        <v>uafs</v>
      </c>
      <c r="E1220" s="4"/>
      <c r="F1220" s="4"/>
      <c r="G1220" s="4"/>
      <c r="H1220" s="4"/>
      <c r="I1220" s="4"/>
      <c r="J1220" s="4"/>
      <c r="K1220" s="4"/>
      <c r="L1220" s="4"/>
      <c r="M1220" s="4"/>
      <c r="N1220" s="4"/>
      <c r="O1220" s="4"/>
      <c r="P1220" s="4"/>
      <c r="Q1220" s="4"/>
      <c r="R1220" s="4"/>
      <c r="S1220" s="4"/>
      <c r="T1220" s="4"/>
      <c r="U1220" s="4"/>
      <c r="V1220" s="4"/>
      <c r="W1220" s="4"/>
      <c r="X1220" s="4"/>
      <c r="Y1220" s="4"/>
      <c r="Z1220" s="4"/>
    </row>
    <row r="1221" spans="1:26" ht="15.75" customHeight="1" x14ac:dyDescent="0.2">
      <c r="A1221" s="1" t="s">
        <v>2431</v>
      </c>
      <c r="B1221" s="1" t="s">
        <v>2432</v>
      </c>
      <c r="C1221" s="5" t="str">
        <f ca="1">IFERROR(__xludf.DUMMYFUNCTION("REGEXEXTRACT($B1221, $E$2)"),"ualr")</f>
        <v>ualr</v>
      </c>
      <c r="E1221" s="4"/>
      <c r="F1221" s="4"/>
      <c r="G1221" s="4"/>
      <c r="H1221" s="4"/>
      <c r="I1221" s="4"/>
      <c r="J1221" s="4"/>
      <c r="K1221" s="4"/>
      <c r="L1221" s="4"/>
      <c r="M1221" s="4"/>
      <c r="N1221" s="4"/>
      <c r="O1221" s="4"/>
      <c r="P1221" s="4"/>
      <c r="Q1221" s="4"/>
      <c r="R1221" s="4"/>
      <c r="S1221" s="4"/>
      <c r="T1221" s="4"/>
      <c r="U1221" s="4"/>
      <c r="V1221" s="4"/>
      <c r="W1221" s="4"/>
      <c r="X1221" s="4"/>
      <c r="Y1221" s="4"/>
      <c r="Z1221" s="4"/>
    </row>
    <row r="1222" spans="1:26" ht="15.75" customHeight="1" x14ac:dyDescent="0.2">
      <c r="A1222" s="1" t="s">
        <v>2433</v>
      </c>
      <c r="B1222" s="1" t="s">
        <v>2434</v>
      </c>
      <c r="C1222" s="5" t="str">
        <f ca="1">IFERROR(__xludf.DUMMYFUNCTION("REGEXEXTRACT($B1222, $E$2)"),"uamont")</f>
        <v>uamont</v>
      </c>
      <c r="E1222" s="4"/>
      <c r="F1222" s="4"/>
      <c r="G1222" s="4"/>
      <c r="H1222" s="4"/>
      <c r="I1222" s="4"/>
      <c r="J1222" s="4"/>
      <c r="K1222" s="4"/>
      <c r="L1222" s="4"/>
      <c r="M1222" s="4"/>
      <c r="N1222" s="4"/>
      <c r="O1222" s="4"/>
      <c r="P1222" s="4"/>
      <c r="Q1222" s="4"/>
      <c r="R1222" s="4"/>
      <c r="S1222" s="4"/>
      <c r="T1222" s="4"/>
      <c r="U1222" s="4"/>
      <c r="V1222" s="4"/>
      <c r="W1222" s="4"/>
      <c r="X1222" s="4"/>
      <c r="Y1222" s="4"/>
      <c r="Z1222" s="4"/>
    </row>
    <row r="1223" spans="1:26" ht="15.75" customHeight="1" x14ac:dyDescent="0.2">
      <c r="A1223" s="1" t="s">
        <v>2435</v>
      </c>
      <c r="B1223" s="1" t="s">
        <v>2436</v>
      </c>
      <c r="C1223" s="5" t="str">
        <f ca="1">IFERROR(__xludf.DUMMYFUNCTION("REGEXEXTRACT($B1223, $E$2)"),"uapb")</f>
        <v>uapb</v>
      </c>
      <c r="E1223" s="4"/>
      <c r="F1223" s="4"/>
      <c r="G1223" s="4"/>
      <c r="H1223" s="4"/>
      <c r="I1223" s="4"/>
      <c r="J1223" s="4"/>
      <c r="K1223" s="4"/>
      <c r="L1223" s="4"/>
      <c r="M1223" s="4"/>
      <c r="N1223" s="4"/>
      <c r="O1223" s="4"/>
      <c r="P1223" s="4"/>
      <c r="Q1223" s="4"/>
      <c r="R1223" s="4"/>
      <c r="S1223" s="4"/>
      <c r="T1223" s="4"/>
      <c r="U1223" s="4"/>
      <c r="V1223" s="4"/>
      <c r="W1223" s="4"/>
      <c r="X1223" s="4"/>
      <c r="Y1223" s="4"/>
      <c r="Z1223" s="4"/>
    </row>
    <row r="1224" spans="1:26" ht="15.75" customHeight="1" x14ac:dyDescent="0.2">
      <c r="A1224" s="1" t="s">
        <v>2437</v>
      </c>
      <c r="B1224" s="1" t="s">
        <v>2438</v>
      </c>
      <c r="C1224" s="5" t="str">
        <f ca="1">IFERROR(__xludf.DUMMYFUNCTION("REGEXEXTRACT($B1224, $E$2)"),"ubalt")</f>
        <v>ubalt</v>
      </c>
      <c r="E1224" s="4"/>
      <c r="F1224" s="4"/>
      <c r="G1224" s="4"/>
      <c r="H1224" s="4"/>
      <c r="I1224" s="4"/>
      <c r="J1224" s="4"/>
      <c r="K1224" s="4"/>
      <c r="L1224" s="4"/>
      <c r="M1224" s="4"/>
      <c r="N1224" s="4"/>
      <c r="O1224" s="4"/>
      <c r="P1224" s="4"/>
      <c r="Q1224" s="4"/>
      <c r="R1224" s="4"/>
      <c r="S1224" s="4"/>
      <c r="T1224" s="4"/>
      <c r="U1224" s="4"/>
      <c r="V1224" s="4"/>
      <c r="W1224" s="4"/>
      <c r="X1224" s="4"/>
      <c r="Y1224" s="4"/>
      <c r="Z1224" s="4"/>
    </row>
    <row r="1225" spans="1:26" ht="15.75" customHeight="1" x14ac:dyDescent="0.2">
      <c r="A1225" s="1" t="s">
        <v>2439</v>
      </c>
      <c r="B1225" s="1" t="s">
        <v>2440</v>
      </c>
      <c r="C1225" s="5" t="str">
        <f ca="1">IFERROR(__xludf.DUMMYFUNCTION("REGEXEXTRACT($B1225, $E$2)"),"bridgeport")</f>
        <v>bridgeport</v>
      </c>
      <c r="E1225" s="4"/>
      <c r="F1225" s="4"/>
      <c r="G1225" s="4"/>
      <c r="H1225" s="4"/>
      <c r="I1225" s="4"/>
      <c r="J1225" s="4"/>
      <c r="K1225" s="4"/>
      <c r="L1225" s="4"/>
      <c r="M1225" s="4"/>
      <c r="N1225" s="4"/>
      <c r="O1225" s="4"/>
      <c r="P1225" s="4"/>
      <c r="Q1225" s="4"/>
      <c r="R1225" s="4"/>
      <c r="S1225" s="4"/>
      <c r="T1225" s="4"/>
      <c r="U1225" s="4"/>
      <c r="V1225" s="4"/>
      <c r="W1225" s="4"/>
      <c r="X1225" s="4"/>
      <c r="Y1225" s="4"/>
      <c r="Z1225" s="4"/>
    </row>
    <row r="1226" spans="1:26" ht="15.75" customHeight="1" x14ac:dyDescent="0.2">
      <c r="A1226" s="1" t="s">
        <v>2441</v>
      </c>
      <c r="B1226" s="1" t="s">
        <v>2442</v>
      </c>
      <c r="C1226" s="5" t="str">
        <f ca="1">IFERROR(__xludf.DUMMYFUNCTION("REGEXEXTRACT($B1226, $E$2)"),"ucmerced")</f>
        <v>ucmerced</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ht="15.75" customHeight="1" x14ac:dyDescent="0.2">
      <c r="A1227" s="1" t="s">
        <v>2443</v>
      </c>
      <c r="B1227" s="1" t="s">
        <v>2444</v>
      </c>
      <c r="C1227" s="5" t="str">
        <f ca="1">IFERROR(__xludf.DUMMYFUNCTION("REGEXEXTRACT($B1227, $E$2)"),"ucdavis")</f>
        <v>ucdavis</v>
      </c>
      <c r="E1227" s="4"/>
      <c r="F1227" s="4"/>
      <c r="G1227" s="4"/>
      <c r="H1227" s="4"/>
      <c r="I1227" s="4"/>
      <c r="J1227" s="4"/>
      <c r="K1227" s="4"/>
      <c r="L1227" s="4"/>
      <c r="M1227" s="4"/>
      <c r="N1227" s="4"/>
      <c r="O1227" s="4"/>
      <c r="P1227" s="4"/>
      <c r="Q1227" s="4"/>
      <c r="R1227" s="4"/>
      <c r="S1227" s="4"/>
      <c r="T1227" s="4"/>
      <c r="U1227" s="4"/>
      <c r="V1227" s="4"/>
      <c r="W1227" s="4"/>
      <c r="X1227" s="4"/>
      <c r="Y1227" s="4"/>
      <c r="Z1227" s="4"/>
    </row>
    <row r="1228" spans="1:26" ht="15.75" customHeight="1" x14ac:dyDescent="0.2">
      <c r="A1228" s="1" t="s">
        <v>2445</v>
      </c>
      <c r="B1228" s="1" t="s">
        <v>2446</v>
      </c>
      <c r="C1228" s="5" t="str">
        <f ca="1">IFERROR(__xludf.DUMMYFUNCTION("REGEXEXTRACT($B1228, $E$2)"),"uci")</f>
        <v>uci</v>
      </c>
      <c r="E1228" s="4"/>
      <c r="F1228" s="4"/>
      <c r="G1228" s="4"/>
      <c r="H1228" s="4"/>
      <c r="I1228" s="4"/>
      <c r="J1228" s="4"/>
      <c r="K1228" s="4"/>
      <c r="L1228" s="4"/>
      <c r="M1228" s="4"/>
      <c r="N1228" s="4"/>
      <c r="O1228" s="4"/>
      <c r="P1228" s="4"/>
      <c r="Q1228" s="4"/>
      <c r="R1228" s="4"/>
      <c r="S1228" s="4"/>
      <c r="T1228" s="4"/>
      <c r="U1228" s="4"/>
      <c r="V1228" s="4"/>
      <c r="W1228" s="4"/>
      <c r="X1228" s="4"/>
      <c r="Y1228" s="4"/>
      <c r="Z1228" s="4"/>
    </row>
    <row r="1229" spans="1:26" ht="15.75" customHeight="1" x14ac:dyDescent="0.2">
      <c r="A1229" s="1" t="s">
        <v>2447</v>
      </c>
      <c r="B1229" s="1" t="s">
        <v>2448</v>
      </c>
      <c r="C1229" s="5" t="str">
        <f ca="1">IFERROR(__xludf.DUMMYFUNCTION("REGEXEXTRACT($B1229, $E$2)"),"ucr")</f>
        <v>ucr</v>
      </c>
      <c r="E1229" s="4"/>
      <c r="F1229" s="4"/>
      <c r="G1229" s="4"/>
      <c r="H1229" s="4"/>
      <c r="I1229" s="4"/>
      <c r="J1229" s="4"/>
      <c r="K1229" s="4"/>
      <c r="L1229" s="4"/>
      <c r="M1229" s="4"/>
      <c r="N1229" s="4"/>
      <c r="O1229" s="4"/>
      <c r="P1229" s="4"/>
      <c r="Q1229" s="4"/>
      <c r="R1229" s="4"/>
      <c r="S1229" s="4"/>
      <c r="T1229" s="4"/>
      <c r="U1229" s="4"/>
      <c r="V1229" s="4"/>
      <c r="W1229" s="4"/>
      <c r="X1229" s="4"/>
      <c r="Y1229" s="4"/>
      <c r="Z1229" s="4"/>
    </row>
    <row r="1230" spans="1:26" ht="15.75" customHeight="1" x14ac:dyDescent="0.2">
      <c r="A1230" s="1" t="s">
        <v>2449</v>
      </c>
      <c r="B1230" s="1" t="s">
        <v>2450</v>
      </c>
      <c r="C1230" s="5" t="str">
        <f ca="1">IFERROR(__xludf.DUMMYFUNCTION("REGEXEXTRACT($B1230, $E$2)"),"ucsb")</f>
        <v>ucsb</v>
      </c>
      <c r="E1230" s="4"/>
      <c r="F1230" s="4"/>
      <c r="G1230" s="4"/>
      <c r="H1230" s="4"/>
      <c r="I1230" s="4"/>
      <c r="J1230" s="4"/>
      <c r="K1230" s="4"/>
      <c r="L1230" s="4"/>
      <c r="M1230" s="4"/>
      <c r="N1230" s="4"/>
      <c r="O1230" s="4"/>
      <c r="P1230" s="4"/>
      <c r="Q1230" s="4"/>
      <c r="R1230" s="4"/>
      <c r="S1230" s="4"/>
      <c r="T1230" s="4"/>
      <c r="U1230" s="4"/>
      <c r="V1230" s="4"/>
      <c r="W1230" s="4"/>
      <c r="X1230" s="4"/>
      <c r="Y1230" s="4"/>
      <c r="Z1230" s="4"/>
    </row>
    <row r="1231" spans="1:26" ht="15.75" customHeight="1" x14ac:dyDescent="0.2">
      <c r="A1231" s="1" t="s">
        <v>2451</v>
      </c>
      <c r="B1231" s="1" t="s">
        <v>2452</v>
      </c>
      <c r="C1231" s="5" t="str">
        <f ca="1">IFERROR(__xludf.DUMMYFUNCTION("REGEXEXTRACT($B1231, $E$2)"),"ucsc")</f>
        <v>ucsc</v>
      </c>
      <c r="E1231" s="4"/>
      <c r="F1231" s="4"/>
      <c r="G1231" s="4"/>
      <c r="H1231" s="4"/>
      <c r="I1231" s="4"/>
      <c r="J1231" s="4"/>
      <c r="K1231" s="4"/>
      <c r="L1231" s="4"/>
      <c r="M1231" s="4"/>
      <c r="N1231" s="4"/>
      <c r="O1231" s="4"/>
      <c r="P1231" s="4"/>
      <c r="Q1231" s="4"/>
      <c r="R1231" s="4"/>
      <c r="S1231" s="4"/>
      <c r="T1231" s="4"/>
      <c r="U1231" s="4"/>
      <c r="V1231" s="4"/>
      <c r="W1231" s="4"/>
      <c r="X1231" s="4"/>
      <c r="Y1231" s="4"/>
      <c r="Z1231" s="4"/>
    </row>
    <row r="1232" spans="1:26" ht="15.75" customHeight="1" x14ac:dyDescent="0.2">
      <c r="A1232" s="1" t="s">
        <v>2453</v>
      </c>
      <c r="B1232" s="1" t="s">
        <v>2454</v>
      </c>
      <c r="C1232" s="5" t="str">
        <f ca="1">IFERROR(__xludf.DUMMYFUNCTION("REGEXEXTRACT($B1232, $E$2)"),"uca")</f>
        <v>uca</v>
      </c>
      <c r="E1232" s="4"/>
      <c r="F1232" s="4"/>
      <c r="G1232" s="4"/>
      <c r="H1232" s="4"/>
      <c r="I1232" s="4"/>
      <c r="J1232" s="4"/>
      <c r="K1232" s="4"/>
      <c r="L1232" s="4"/>
      <c r="M1232" s="4"/>
      <c r="N1232" s="4"/>
      <c r="O1232" s="4"/>
      <c r="P1232" s="4"/>
      <c r="Q1232" s="4"/>
      <c r="R1232" s="4"/>
      <c r="S1232" s="4"/>
      <c r="T1232" s="4"/>
      <c r="U1232" s="4"/>
      <c r="V1232" s="4"/>
      <c r="W1232" s="4"/>
      <c r="X1232" s="4"/>
      <c r="Y1232" s="4"/>
      <c r="Z1232" s="4"/>
    </row>
    <row r="1233" spans="1:26" ht="15.75" customHeight="1" x14ac:dyDescent="0.2">
      <c r="A1233" s="1" t="s">
        <v>2455</v>
      </c>
      <c r="B1233" s="1" t="s">
        <v>2456</v>
      </c>
      <c r="C1233" s="5" t="str">
        <f ca="1">IFERROR(__xludf.DUMMYFUNCTION("REGEXEXTRACT($B1233, $E$2)"),"ucf")</f>
        <v>ucf</v>
      </c>
      <c r="E1233" s="4"/>
      <c r="F1233" s="4"/>
      <c r="G1233" s="4"/>
      <c r="H1233" s="4"/>
      <c r="I1233" s="4"/>
      <c r="J1233" s="4"/>
      <c r="K1233" s="4"/>
      <c r="L1233" s="4"/>
      <c r="M1233" s="4"/>
      <c r="N1233" s="4"/>
      <c r="O1233" s="4"/>
      <c r="P1233" s="4"/>
      <c r="Q1233" s="4"/>
      <c r="R1233" s="4"/>
      <c r="S1233" s="4"/>
      <c r="T1233" s="4"/>
      <c r="U1233" s="4"/>
      <c r="V1233" s="4"/>
      <c r="W1233" s="4"/>
      <c r="X1233" s="4"/>
      <c r="Y1233" s="4"/>
      <c r="Z1233" s="4"/>
    </row>
    <row r="1234" spans="1:26" ht="15.75" customHeight="1" x14ac:dyDescent="0.2">
      <c r="A1234" s="1" t="s">
        <v>2457</v>
      </c>
      <c r="B1234" s="1" t="s">
        <v>2458</v>
      </c>
      <c r="C1234" s="5" t="str">
        <f ca="1">IFERROR(__xludf.DUMMYFUNCTION("REGEXEXTRACT($B1234, $E$2)"),"ucmo")</f>
        <v>ucmo</v>
      </c>
      <c r="E1234" s="4"/>
      <c r="F1234" s="4"/>
      <c r="G1234" s="4"/>
      <c r="H1234" s="4"/>
      <c r="I1234" s="4"/>
      <c r="J1234" s="4"/>
      <c r="K1234" s="4"/>
      <c r="L1234" s="4"/>
      <c r="M1234" s="4"/>
      <c r="N1234" s="4"/>
      <c r="O1234" s="4"/>
      <c r="P1234" s="4"/>
      <c r="Q1234" s="4"/>
      <c r="R1234" s="4"/>
      <c r="S1234" s="4"/>
      <c r="T1234" s="4"/>
      <c r="U1234" s="4"/>
      <c r="V1234" s="4"/>
      <c r="W1234" s="4"/>
      <c r="X1234" s="4"/>
      <c r="Y1234" s="4"/>
      <c r="Z1234" s="4"/>
    </row>
    <row r="1235" spans="1:26" ht="15.75" customHeight="1" x14ac:dyDescent="0.2">
      <c r="A1235" s="1" t="s">
        <v>2459</v>
      </c>
      <c r="B1235" s="1" t="s">
        <v>2460</v>
      </c>
      <c r="C1235" s="5" t="str">
        <f ca="1">IFERROR(__xludf.DUMMYFUNCTION("REGEXEXTRACT($B1235, $E$2)"),"uco")</f>
        <v>uco</v>
      </c>
      <c r="E1235" s="4"/>
      <c r="F1235" s="4"/>
      <c r="G1235" s="4"/>
      <c r="H1235" s="4"/>
      <c r="I1235" s="4"/>
      <c r="J1235" s="4"/>
      <c r="K1235" s="4"/>
      <c r="L1235" s="4"/>
      <c r="M1235" s="4"/>
      <c r="N1235" s="4"/>
      <c r="O1235" s="4"/>
      <c r="P1235" s="4"/>
      <c r="Q1235" s="4"/>
      <c r="R1235" s="4"/>
      <c r="S1235" s="4"/>
      <c r="T1235" s="4"/>
      <c r="U1235" s="4"/>
      <c r="V1235" s="4"/>
      <c r="W1235" s="4"/>
      <c r="X1235" s="4"/>
      <c r="Y1235" s="4"/>
      <c r="Z1235" s="4"/>
    </row>
    <row r="1236" spans="1:26" ht="15.75" customHeight="1" x14ac:dyDescent="0.2">
      <c r="A1236" s="1" t="s">
        <v>2461</v>
      </c>
      <c r="B1236" s="1" t="s">
        <v>2462</v>
      </c>
      <c r="C1236" s="5" t="str">
        <f ca="1">IFERROR(__xludf.DUMMYFUNCTION("REGEXEXTRACT($B1236, $E$2)"),"ucwv")</f>
        <v>ucwv</v>
      </c>
      <c r="E1236" s="4"/>
      <c r="F1236" s="4"/>
      <c r="G1236" s="4"/>
      <c r="H1236" s="4"/>
      <c r="I1236" s="4"/>
      <c r="J1236" s="4"/>
      <c r="K1236" s="4"/>
      <c r="L1236" s="4"/>
      <c r="M1236" s="4"/>
      <c r="N1236" s="4"/>
      <c r="O1236" s="4"/>
      <c r="P1236" s="4"/>
      <c r="Q1236" s="4"/>
      <c r="R1236" s="4"/>
      <c r="S1236" s="4"/>
      <c r="T1236" s="4"/>
      <c r="U1236" s="4"/>
      <c r="V1236" s="4"/>
      <c r="W1236" s="4"/>
      <c r="X1236" s="4"/>
      <c r="Y1236" s="4"/>
      <c r="Z1236" s="4"/>
    </row>
    <row r="1237" spans="1:26" ht="15.75" customHeight="1" x14ac:dyDescent="0.2">
      <c r="A1237" s="1" t="s">
        <v>2463</v>
      </c>
      <c r="B1237" s="1" t="s">
        <v>2464</v>
      </c>
      <c r="C1237" s="5" t="str">
        <f ca="1">IFERROR(__xludf.DUMMYFUNCTION("REGEXEXTRACT($B1237, $E$2)"),"uchicago")</f>
        <v>uchicago</v>
      </c>
      <c r="E1237" s="4"/>
      <c r="F1237" s="4"/>
      <c r="G1237" s="4"/>
      <c r="H1237" s="4"/>
      <c r="I1237" s="4"/>
      <c r="J1237" s="4"/>
      <c r="K1237" s="4"/>
      <c r="L1237" s="4"/>
      <c r="M1237" s="4"/>
      <c r="N1237" s="4"/>
      <c r="O1237" s="4"/>
      <c r="P1237" s="4"/>
      <c r="Q1237" s="4"/>
      <c r="R1237" s="4"/>
      <c r="S1237" s="4"/>
      <c r="T1237" s="4"/>
      <c r="U1237" s="4"/>
      <c r="V1237" s="4"/>
      <c r="W1237" s="4"/>
      <c r="X1237" s="4"/>
      <c r="Y1237" s="4"/>
      <c r="Z1237" s="4"/>
    </row>
    <row r="1238" spans="1:26" ht="15.75" customHeight="1" x14ac:dyDescent="0.2">
      <c r="A1238" s="1" t="s">
        <v>2465</v>
      </c>
      <c r="B1238" s="1" t="s">
        <v>2466</v>
      </c>
      <c r="C1238" s="5" t="str">
        <f ca="1">IFERROR(__xludf.DUMMYFUNCTION("REGEXEXTRACT($B1238, $E$2)"),"uc")</f>
        <v>uc</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ht="15.75" customHeight="1" x14ac:dyDescent="0.2">
      <c r="A1239" s="1" t="s">
        <v>2467</v>
      </c>
      <c r="B1239" s="1" t="s">
        <v>2468</v>
      </c>
      <c r="C1239" s="5" t="str">
        <f ca="1">IFERROR(__xludf.DUMMYFUNCTION("REGEXEXTRACT($B1239, $E$2)"),"ucblueash")</f>
        <v>ucblueash</v>
      </c>
      <c r="E1239" s="4"/>
      <c r="F1239" s="4"/>
      <c r="G1239" s="4"/>
      <c r="H1239" s="4"/>
      <c r="I1239" s="4"/>
      <c r="J1239" s="4"/>
      <c r="K1239" s="4"/>
      <c r="L1239" s="4"/>
      <c r="M1239" s="4"/>
      <c r="N1239" s="4"/>
      <c r="O1239" s="4"/>
      <c r="P1239" s="4"/>
      <c r="Q1239" s="4"/>
      <c r="R1239" s="4"/>
      <c r="S1239" s="4"/>
      <c r="T1239" s="4"/>
      <c r="U1239" s="4"/>
      <c r="V1239" s="4"/>
      <c r="W1239" s="4"/>
      <c r="X1239" s="4"/>
      <c r="Y1239" s="4"/>
      <c r="Z1239" s="4"/>
    </row>
    <row r="1240" spans="1:26" ht="15.75" customHeight="1" x14ac:dyDescent="0.2">
      <c r="A1240" s="1" t="s">
        <v>2469</v>
      </c>
      <c r="B1240" s="1" t="s">
        <v>2470</v>
      </c>
      <c r="C1240" s="5" t="str">
        <f ca="1">IFERROR(__xludf.DUMMYFUNCTION("REGEXEXTRACT($B1240, $E$2)"),"colorado")</f>
        <v>colorado</v>
      </c>
      <c r="E1240" s="4"/>
      <c r="F1240" s="4"/>
      <c r="G1240" s="4"/>
      <c r="H1240" s="4"/>
      <c r="I1240" s="4"/>
      <c r="J1240" s="4"/>
      <c r="K1240" s="4"/>
      <c r="L1240" s="4"/>
      <c r="M1240" s="4"/>
      <c r="N1240" s="4"/>
      <c r="O1240" s="4"/>
      <c r="P1240" s="4"/>
      <c r="Q1240" s="4"/>
      <c r="R1240" s="4"/>
      <c r="S1240" s="4"/>
      <c r="T1240" s="4"/>
      <c r="U1240" s="4"/>
      <c r="V1240" s="4"/>
      <c r="W1240" s="4"/>
      <c r="X1240" s="4"/>
      <c r="Y1240" s="4"/>
      <c r="Z1240" s="4"/>
    </row>
    <row r="1241" spans="1:26" ht="15.75" customHeight="1" x14ac:dyDescent="0.2">
      <c r="A1241" s="1" t="s">
        <v>2471</v>
      </c>
      <c r="B1241" s="1" t="s">
        <v>2472</v>
      </c>
      <c r="C1241" s="5" t="str">
        <f ca="1">IFERROR(__xludf.DUMMYFUNCTION("REGEXEXTRACT($B1241, $E$2)"),"uccs")</f>
        <v>uccs</v>
      </c>
      <c r="E1241" s="4"/>
      <c r="F1241" s="4"/>
      <c r="G1241" s="4"/>
      <c r="H1241" s="4"/>
      <c r="I1241" s="4"/>
      <c r="J1241" s="4"/>
      <c r="K1241" s="4"/>
      <c r="L1241" s="4"/>
      <c r="M1241" s="4"/>
      <c r="N1241" s="4"/>
      <c r="O1241" s="4"/>
      <c r="P1241" s="4"/>
      <c r="Q1241" s="4"/>
      <c r="R1241" s="4"/>
      <c r="S1241" s="4"/>
      <c r="T1241" s="4"/>
      <c r="U1241" s="4"/>
      <c r="V1241" s="4"/>
      <c r="W1241" s="4"/>
      <c r="X1241" s="4"/>
      <c r="Y1241" s="4"/>
      <c r="Z1241" s="4"/>
    </row>
    <row r="1242" spans="1:26" ht="15.75" customHeight="1" x14ac:dyDescent="0.2">
      <c r="A1242" s="1" t="s">
        <v>2473</v>
      </c>
      <c r="B1242" s="1" t="s">
        <v>2474</v>
      </c>
      <c r="C1242" s="5" t="str">
        <f ca="1">IFERROR(__xludf.DUMMYFUNCTION("REGEXEXTRACT($B1242, $E$2)"),"ucdenver")</f>
        <v>ucdenver</v>
      </c>
      <c r="E1242" s="4"/>
      <c r="F1242" s="4"/>
      <c r="G1242" s="4"/>
      <c r="H1242" s="4"/>
      <c r="I1242" s="4"/>
      <c r="J1242" s="4"/>
      <c r="K1242" s="4"/>
      <c r="L1242" s="4"/>
      <c r="M1242" s="4"/>
      <c r="N1242" s="4"/>
      <c r="O1242" s="4"/>
      <c r="P1242" s="4"/>
      <c r="Q1242" s="4"/>
      <c r="R1242" s="4"/>
      <c r="S1242" s="4"/>
      <c r="T1242" s="4"/>
      <c r="U1242" s="4"/>
      <c r="V1242" s="4"/>
      <c r="W1242" s="4"/>
      <c r="X1242" s="4"/>
      <c r="Y1242" s="4"/>
      <c r="Z1242" s="4"/>
    </row>
    <row r="1243" spans="1:26" ht="15.75" customHeight="1" x14ac:dyDescent="0.2">
      <c r="A1243" s="1" t="s">
        <v>2475</v>
      </c>
      <c r="B1243" s="1" t="s">
        <v>2476</v>
      </c>
      <c r="C1243" s="5" t="str">
        <f ca="1">IFERROR(__xludf.DUMMYFUNCTION("REGEXEXTRACT($B1243, $E$2)"),"uconn")</f>
        <v>uconn</v>
      </c>
      <c r="E1243" s="4"/>
      <c r="F1243" s="4"/>
      <c r="G1243" s="4"/>
      <c r="H1243" s="4"/>
      <c r="I1243" s="4"/>
      <c r="J1243" s="4"/>
      <c r="K1243" s="4"/>
      <c r="L1243" s="4"/>
      <c r="M1243" s="4"/>
      <c r="N1243" s="4"/>
      <c r="O1243" s="4"/>
      <c r="P1243" s="4"/>
      <c r="Q1243" s="4"/>
      <c r="R1243" s="4"/>
      <c r="S1243" s="4"/>
      <c r="T1243" s="4"/>
      <c r="U1243" s="4"/>
      <c r="V1243" s="4"/>
      <c r="W1243" s="4"/>
      <c r="X1243" s="4"/>
      <c r="Y1243" s="4"/>
      <c r="Z1243" s="4"/>
    </row>
    <row r="1244" spans="1:26" ht="15.75" customHeight="1" x14ac:dyDescent="0.2">
      <c r="A1244" s="1" t="s">
        <v>2477</v>
      </c>
      <c r="B1244" s="1" t="s">
        <v>2478</v>
      </c>
      <c r="C1244" s="5" t="str">
        <f ca="1">IFERROR(__xludf.DUMMYFUNCTION("REGEXEXTRACT($B1244, $E$2)"),"udallas")</f>
        <v>udallas</v>
      </c>
      <c r="E1244" s="4"/>
      <c r="F1244" s="4"/>
      <c r="G1244" s="4"/>
      <c r="H1244" s="4"/>
      <c r="I1244" s="4"/>
      <c r="J1244" s="4"/>
      <c r="K1244" s="4"/>
      <c r="L1244" s="4"/>
      <c r="M1244" s="4"/>
      <c r="N1244" s="4"/>
      <c r="O1244" s="4"/>
      <c r="P1244" s="4"/>
      <c r="Q1244" s="4"/>
      <c r="R1244" s="4"/>
      <c r="S1244" s="4"/>
      <c r="T1244" s="4"/>
      <c r="U1244" s="4"/>
      <c r="V1244" s="4"/>
      <c r="W1244" s="4"/>
      <c r="X1244" s="4"/>
      <c r="Y1244" s="4"/>
      <c r="Z1244" s="4"/>
    </row>
    <row r="1245" spans="1:26" ht="15.75" customHeight="1" x14ac:dyDescent="0.2">
      <c r="A1245" s="1" t="s">
        <v>2479</v>
      </c>
      <c r="B1245" s="1" t="s">
        <v>2480</v>
      </c>
      <c r="C1245" s="5" t="str">
        <f ca="1">IFERROR(__xludf.DUMMYFUNCTION("REGEXEXTRACT($B1245, $E$2)"),"udayton")</f>
        <v>udayton</v>
      </c>
      <c r="E1245" s="4"/>
      <c r="F1245" s="4"/>
      <c r="G1245" s="4"/>
      <c r="H1245" s="4"/>
      <c r="I1245" s="4"/>
      <c r="J1245" s="4"/>
      <c r="K1245" s="4"/>
      <c r="L1245" s="4"/>
      <c r="M1245" s="4"/>
      <c r="N1245" s="4"/>
      <c r="O1245" s="4"/>
      <c r="P1245" s="4"/>
      <c r="Q1245" s="4"/>
      <c r="R1245" s="4"/>
      <c r="S1245" s="4"/>
      <c r="T1245" s="4"/>
      <c r="U1245" s="4"/>
      <c r="V1245" s="4"/>
      <c r="W1245" s="4"/>
      <c r="X1245" s="4"/>
      <c r="Y1245" s="4"/>
      <c r="Z1245" s="4"/>
    </row>
    <row r="1246" spans="1:26" ht="15.75" customHeight="1" x14ac:dyDescent="0.2">
      <c r="A1246" s="1" t="s">
        <v>2481</v>
      </c>
      <c r="B1246" s="1" t="s">
        <v>2482</v>
      </c>
      <c r="C1246" s="5" t="str">
        <f ca="1">IFERROR(__xludf.DUMMYFUNCTION("REGEXEXTRACT($B1246, $E$2)"),"udel")</f>
        <v>udel</v>
      </c>
      <c r="E1246" s="4"/>
      <c r="F1246" s="4"/>
      <c r="G1246" s="4"/>
      <c r="H1246" s="4"/>
      <c r="I1246" s="4"/>
      <c r="J1246" s="4"/>
      <c r="K1246" s="4"/>
      <c r="L1246" s="4"/>
      <c r="M1246" s="4"/>
      <c r="N1246" s="4"/>
      <c r="O1246" s="4"/>
      <c r="P1246" s="4"/>
      <c r="Q1246" s="4"/>
      <c r="R1246" s="4"/>
      <c r="S1246" s="4"/>
      <c r="T1246" s="4"/>
      <c r="U1246" s="4"/>
      <c r="V1246" s="4"/>
      <c r="W1246" s="4"/>
      <c r="X1246" s="4"/>
      <c r="Y1246" s="4"/>
      <c r="Z1246" s="4"/>
    </row>
    <row r="1247" spans="1:26" ht="15.75" customHeight="1" x14ac:dyDescent="0.2">
      <c r="A1247" s="1" t="s">
        <v>2483</v>
      </c>
      <c r="B1247" s="1" t="s">
        <v>2484</v>
      </c>
      <c r="C1247" s="5" t="str">
        <f ca="1">IFERROR(__xludf.DUMMYFUNCTION("REGEXEXTRACT($B1247, $E$2)"),"du")</f>
        <v>du</v>
      </c>
      <c r="E1247" s="4"/>
      <c r="F1247" s="4"/>
      <c r="G1247" s="4"/>
      <c r="H1247" s="4"/>
      <c r="I1247" s="4"/>
      <c r="J1247" s="4"/>
      <c r="K1247" s="4"/>
      <c r="L1247" s="4"/>
      <c r="M1247" s="4"/>
      <c r="N1247" s="4"/>
      <c r="O1247" s="4"/>
      <c r="P1247" s="4"/>
      <c r="Q1247" s="4"/>
      <c r="R1247" s="4"/>
      <c r="S1247" s="4"/>
      <c r="T1247" s="4"/>
      <c r="U1247" s="4"/>
      <c r="V1247" s="4"/>
      <c r="W1247" s="4"/>
      <c r="X1247" s="4"/>
      <c r="Y1247" s="4"/>
      <c r="Z1247" s="4"/>
    </row>
    <row r="1248" spans="1:26" ht="15.75" customHeight="1" x14ac:dyDescent="0.2">
      <c r="A1248" s="1" t="s">
        <v>2485</v>
      </c>
      <c r="B1248" s="1" t="s">
        <v>2486</v>
      </c>
      <c r="C1248" s="5" t="str">
        <f ca="1">IFERROR(__xludf.DUMMYFUNCTION("REGEXEXTRACT($B1248, $E$2)"),"udmercy")</f>
        <v>udmercy</v>
      </c>
      <c r="E1248" s="4"/>
      <c r="F1248" s="4"/>
      <c r="G1248" s="4"/>
      <c r="H1248" s="4"/>
      <c r="I1248" s="4"/>
      <c r="J1248" s="4"/>
      <c r="K1248" s="4"/>
      <c r="L1248" s="4"/>
      <c r="M1248" s="4"/>
      <c r="N1248" s="4"/>
      <c r="O1248" s="4"/>
      <c r="P1248" s="4"/>
      <c r="Q1248" s="4"/>
      <c r="R1248" s="4"/>
      <c r="S1248" s="4"/>
      <c r="T1248" s="4"/>
      <c r="U1248" s="4"/>
      <c r="V1248" s="4"/>
      <c r="W1248" s="4"/>
      <c r="X1248" s="4"/>
      <c r="Y1248" s="4"/>
      <c r="Z1248" s="4"/>
    </row>
    <row r="1249" spans="1:26" ht="15.75" customHeight="1" x14ac:dyDescent="0.2">
      <c r="A1249" s="1" t="s">
        <v>2487</v>
      </c>
      <c r="B1249" s="1" t="s">
        <v>2488</v>
      </c>
      <c r="C1249" s="5" t="str">
        <f ca="1">IFERROR(__xludf.DUMMYFUNCTION("REGEXEXTRACT($B1249, $E$2)"),"dbq")</f>
        <v>dbq</v>
      </c>
      <c r="E1249" s="4"/>
      <c r="F1249" s="4"/>
      <c r="G1249" s="4"/>
      <c r="H1249" s="4"/>
      <c r="I1249" s="4"/>
      <c r="J1249" s="4"/>
      <c r="K1249" s="4"/>
      <c r="L1249" s="4"/>
      <c r="M1249" s="4"/>
      <c r="N1249" s="4"/>
      <c r="O1249" s="4"/>
      <c r="P1249" s="4"/>
      <c r="Q1249" s="4"/>
      <c r="R1249" s="4"/>
      <c r="S1249" s="4"/>
      <c r="T1249" s="4"/>
      <c r="U1249" s="4"/>
      <c r="V1249" s="4"/>
      <c r="W1249" s="4"/>
      <c r="X1249" s="4"/>
      <c r="Y1249" s="4"/>
      <c r="Z1249" s="4"/>
    </row>
    <row r="1250" spans="1:26" ht="15.75" customHeight="1" x14ac:dyDescent="0.2">
      <c r="A1250" s="1" t="s">
        <v>2489</v>
      </c>
      <c r="B1250" s="1" t="s">
        <v>2490</v>
      </c>
      <c r="C1250" s="5" t="str">
        <f ca="1">IFERROR(__xludf.DUMMYFUNCTION("REGEXEXTRACT($B1250, $E$2)"),"evansville")</f>
        <v>evansville</v>
      </c>
      <c r="E1250" s="4"/>
      <c r="F1250" s="4"/>
      <c r="G1250" s="4"/>
      <c r="H1250" s="4"/>
      <c r="I1250" s="4"/>
      <c r="J1250" s="4"/>
      <c r="K1250" s="4"/>
      <c r="L1250" s="4"/>
      <c r="M1250" s="4"/>
      <c r="N1250" s="4"/>
      <c r="O1250" s="4"/>
      <c r="P1250" s="4"/>
      <c r="Q1250" s="4"/>
      <c r="R1250" s="4"/>
      <c r="S1250" s="4"/>
      <c r="T1250" s="4"/>
      <c r="U1250" s="4"/>
      <c r="V1250" s="4"/>
      <c r="W1250" s="4"/>
      <c r="X1250" s="4"/>
      <c r="Y1250" s="4"/>
      <c r="Z1250" s="4"/>
    </row>
    <row r="1251" spans="1:26" ht="15.75" customHeight="1" x14ac:dyDescent="0.2">
      <c r="A1251" s="1" t="s">
        <v>2491</v>
      </c>
      <c r="B1251" s="1" t="s">
        <v>2492</v>
      </c>
      <c r="C1251" s="5" t="str">
        <f ca="1">IFERROR(__xludf.DUMMYFUNCTION("REGEXEXTRACT($B1251, $E$2)"),"findlay")</f>
        <v>findlay</v>
      </c>
      <c r="E1251" s="4"/>
      <c r="F1251" s="4"/>
      <c r="G1251" s="4"/>
      <c r="H1251" s="4"/>
      <c r="I1251" s="4"/>
      <c r="J1251" s="4"/>
      <c r="K1251" s="4"/>
      <c r="L1251" s="4"/>
      <c r="M1251" s="4"/>
      <c r="N1251" s="4"/>
      <c r="O1251" s="4"/>
      <c r="P1251" s="4"/>
      <c r="Q1251" s="4"/>
      <c r="R1251" s="4"/>
      <c r="S1251" s="4"/>
      <c r="T1251" s="4"/>
      <c r="U1251" s="4"/>
      <c r="V1251" s="4"/>
      <c r="W1251" s="4"/>
      <c r="X1251" s="4"/>
      <c r="Y1251" s="4"/>
      <c r="Z1251" s="4"/>
    </row>
    <row r="1252" spans="1:26" ht="15.75" customHeight="1" x14ac:dyDescent="0.2">
      <c r="A1252" s="1" t="s">
        <v>2493</v>
      </c>
      <c r="B1252" s="1" t="s">
        <v>2494</v>
      </c>
      <c r="C1252" s="5" t="str">
        <f ca="1">IFERROR(__xludf.DUMMYFUNCTION("REGEXEXTRACT($B1252, $E$2)"),"ufl")</f>
        <v>ufl</v>
      </c>
      <c r="E1252" s="4"/>
      <c r="F1252" s="4"/>
      <c r="G1252" s="4"/>
      <c r="H1252" s="4"/>
      <c r="I1252" s="4"/>
      <c r="J1252" s="4"/>
      <c r="K1252" s="4"/>
      <c r="L1252" s="4"/>
      <c r="M1252" s="4"/>
      <c r="N1252" s="4"/>
      <c r="O1252" s="4"/>
      <c r="P1252" s="4"/>
      <c r="Q1252" s="4"/>
      <c r="R1252" s="4"/>
      <c r="S1252" s="4"/>
      <c r="T1252" s="4"/>
      <c r="U1252" s="4"/>
      <c r="V1252" s="4"/>
      <c r="W1252" s="4"/>
      <c r="X1252" s="4"/>
      <c r="Y1252" s="4"/>
      <c r="Z1252" s="4"/>
    </row>
    <row r="1253" spans="1:26" ht="15.75" customHeight="1" x14ac:dyDescent="0.2">
      <c r="A1253" s="1" t="s">
        <v>2495</v>
      </c>
      <c r="B1253" s="1" t="s">
        <v>2496</v>
      </c>
      <c r="C1253" s="5" t="str">
        <f ca="1">IFERROR(__xludf.DUMMYFUNCTION("REGEXEXTRACT($B1253, $E$2)"),"uga")</f>
        <v>uga</v>
      </c>
      <c r="E1253" s="4"/>
      <c r="F1253" s="4"/>
      <c r="G1253" s="4"/>
      <c r="H1253" s="4"/>
      <c r="I1253" s="4"/>
      <c r="J1253" s="4"/>
      <c r="K1253" s="4"/>
      <c r="L1253" s="4"/>
      <c r="M1253" s="4"/>
      <c r="N1253" s="4"/>
      <c r="O1253" s="4"/>
      <c r="P1253" s="4"/>
      <c r="Q1253" s="4"/>
      <c r="R1253" s="4"/>
      <c r="S1253" s="4"/>
      <c r="T1253" s="4"/>
      <c r="U1253" s="4"/>
      <c r="V1253" s="4"/>
      <c r="W1253" s="4"/>
      <c r="X1253" s="4"/>
      <c r="Y1253" s="4"/>
      <c r="Z1253" s="4"/>
    </row>
    <row r="1254" spans="1:26" ht="15.75" customHeight="1" x14ac:dyDescent="0.2">
      <c r="A1254" s="1" t="s">
        <v>2497</v>
      </c>
      <c r="B1254" s="1" t="s">
        <v>2498</v>
      </c>
      <c r="C1254" s="5" t="str">
        <f ca="1">IFERROR(__xludf.DUMMYFUNCTION("REGEXEXTRACT($B1254, $E$2)"),"uog")</f>
        <v>uog</v>
      </c>
      <c r="E1254" s="4"/>
      <c r="F1254" s="4"/>
      <c r="G1254" s="4"/>
      <c r="H1254" s="4"/>
      <c r="I1254" s="4"/>
      <c r="J1254" s="4"/>
      <c r="K1254" s="4"/>
      <c r="L1254" s="4"/>
      <c r="M1254" s="4"/>
      <c r="N1254" s="4"/>
      <c r="O1254" s="4"/>
      <c r="P1254" s="4"/>
      <c r="Q1254" s="4"/>
      <c r="R1254" s="4"/>
      <c r="S1254" s="4"/>
      <c r="T1254" s="4"/>
      <c r="U1254" s="4"/>
      <c r="V1254" s="4"/>
      <c r="W1254" s="4"/>
      <c r="X1254" s="4"/>
      <c r="Y1254" s="4"/>
      <c r="Z1254" s="4"/>
    </row>
    <row r="1255" spans="1:26" ht="15.75" customHeight="1" x14ac:dyDescent="0.2">
      <c r="A1255" s="1" t="s">
        <v>2499</v>
      </c>
      <c r="B1255" s="1" t="s">
        <v>2500</v>
      </c>
      <c r="C1255" s="5" t="str">
        <f ca="1">IFERROR(__xludf.DUMMYFUNCTION("REGEXEXTRACT($B1255, $E$2)"),"hartford")</f>
        <v>hartford</v>
      </c>
      <c r="E1255" s="4"/>
      <c r="F1255" s="4"/>
      <c r="G1255" s="4"/>
      <c r="H1255" s="4"/>
      <c r="I1255" s="4"/>
      <c r="J1255" s="4"/>
      <c r="K1255" s="4"/>
      <c r="L1255" s="4"/>
      <c r="M1255" s="4"/>
      <c r="N1255" s="4"/>
      <c r="O1255" s="4"/>
      <c r="P1255" s="4"/>
      <c r="Q1255" s="4"/>
      <c r="R1255" s="4"/>
      <c r="S1255" s="4"/>
      <c r="T1255" s="4"/>
      <c r="U1255" s="4"/>
      <c r="V1255" s="4"/>
      <c r="W1255" s="4"/>
      <c r="X1255" s="4"/>
      <c r="Y1255" s="4"/>
      <c r="Z1255" s="4"/>
    </row>
    <row r="1256" spans="1:26" ht="15.75" customHeight="1" x14ac:dyDescent="0.2">
      <c r="A1256" s="1" t="s">
        <v>2501</v>
      </c>
      <c r="B1256" s="1" t="s">
        <v>2502</v>
      </c>
      <c r="C1256" s="5" t="str">
        <f ca="1">IFERROR(__xludf.DUMMYFUNCTION("REGEXEXTRACT($B1256, $E$2)"),"hawaii")</f>
        <v>hawaii</v>
      </c>
      <c r="E1256" s="4"/>
      <c r="F1256" s="4"/>
      <c r="G1256" s="4"/>
      <c r="H1256" s="4"/>
      <c r="I1256" s="4"/>
      <c r="J1256" s="4"/>
      <c r="K1256" s="4"/>
      <c r="L1256" s="4"/>
      <c r="M1256" s="4"/>
      <c r="N1256" s="4"/>
      <c r="O1256" s="4"/>
      <c r="P1256" s="4"/>
      <c r="Q1256" s="4"/>
      <c r="R1256" s="4"/>
      <c r="S1256" s="4"/>
      <c r="T1256" s="4"/>
      <c r="U1256" s="4"/>
      <c r="V1256" s="4"/>
      <c r="W1256" s="4"/>
      <c r="X1256" s="4"/>
      <c r="Y1256" s="4"/>
      <c r="Z1256" s="4"/>
    </row>
    <row r="1257" spans="1:26" ht="15.75" customHeight="1" x14ac:dyDescent="0.2">
      <c r="A1257" s="1" t="s">
        <v>2503</v>
      </c>
      <c r="B1257" s="1" t="s">
        <v>2504</v>
      </c>
      <c r="C1257" s="5" t="str">
        <f ca="1">IFERROR(__xludf.DUMMYFUNCTION("REGEXEXTRACT($B1257, $E$2)"),"uhcno")</f>
        <v>uhcno</v>
      </c>
      <c r="E1257" s="4"/>
      <c r="F1257" s="4"/>
      <c r="G1257" s="4"/>
      <c r="H1257" s="4"/>
      <c r="I1257" s="4"/>
      <c r="J1257" s="4"/>
      <c r="K1257" s="4"/>
      <c r="L1257" s="4"/>
      <c r="M1257" s="4"/>
      <c r="N1257" s="4"/>
      <c r="O1257" s="4"/>
      <c r="P1257" s="4"/>
      <c r="Q1257" s="4"/>
      <c r="R1257" s="4"/>
      <c r="S1257" s="4"/>
      <c r="T1257" s="4"/>
      <c r="U1257" s="4"/>
      <c r="V1257" s="4"/>
      <c r="W1257" s="4"/>
      <c r="X1257" s="4"/>
      <c r="Y1257" s="4"/>
      <c r="Z1257" s="4"/>
    </row>
    <row r="1258" spans="1:26" ht="15.75" customHeight="1" x14ac:dyDescent="0.2">
      <c r="A1258" s="1" t="s">
        <v>2505</v>
      </c>
      <c r="B1258" s="1" t="s">
        <v>2506</v>
      </c>
      <c r="C1258" s="5" t="str">
        <f ca="1">IFERROR(__xludf.DUMMYFUNCTION("REGEXEXTRACT($B1258, $E$2)"),"uh")</f>
        <v>uh</v>
      </c>
      <c r="E1258" s="4"/>
      <c r="F1258" s="4"/>
      <c r="G1258" s="4"/>
      <c r="H1258" s="4"/>
      <c r="I1258" s="4"/>
      <c r="J1258" s="4"/>
      <c r="K1258" s="4"/>
      <c r="L1258" s="4"/>
      <c r="M1258" s="4"/>
      <c r="N1258" s="4"/>
      <c r="O1258" s="4"/>
      <c r="P1258" s="4"/>
      <c r="Q1258" s="4"/>
      <c r="R1258" s="4"/>
      <c r="S1258" s="4"/>
      <c r="T1258" s="4"/>
      <c r="U1258" s="4"/>
      <c r="V1258" s="4"/>
      <c r="W1258" s="4"/>
      <c r="X1258" s="4"/>
      <c r="Y1258" s="4"/>
      <c r="Z1258" s="4"/>
    </row>
    <row r="1259" spans="1:26" ht="15.75" customHeight="1" x14ac:dyDescent="0.2">
      <c r="A1259" s="1" t="s">
        <v>2507</v>
      </c>
      <c r="B1259" s="1" t="s">
        <v>2508</v>
      </c>
      <c r="C1259" s="5" t="str">
        <f ca="1">IFERROR(__xludf.DUMMYFUNCTION("REGEXEXTRACT($B1259, $E$2)"),"uhcl")</f>
        <v>uhcl</v>
      </c>
      <c r="E1259" s="4"/>
      <c r="F1259" s="4"/>
      <c r="G1259" s="4"/>
      <c r="H1259" s="4"/>
      <c r="I1259" s="4"/>
      <c r="J1259" s="4"/>
      <c r="K1259" s="4"/>
      <c r="L1259" s="4"/>
      <c r="M1259" s="4"/>
      <c r="N1259" s="4"/>
      <c r="O1259" s="4"/>
      <c r="P1259" s="4"/>
      <c r="Q1259" s="4"/>
      <c r="R1259" s="4"/>
      <c r="S1259" s="4"/>
      <c r="T1259" s="4"/>
      <c r="U1259" s="4"/>
      <c r="V1259" s="4"/>
      <c r="W1259" s="4"/>
      <c r="X1259" s="4"/>
      <c r="Y1259" s="4"/>
      <c r="Z1259" s="4"/>
    </row>
    <row r="1260" spans="1:26" ht="15.75" customHeight="1" x14ac:dyDescent="0.2">
      <c r="A1260" s="1" t="s">
        <v>2509</v>
      </c>
      <c r="B1260" s="1" t="s">
        <v>2510</v>
      </c>
      <c r="C1260" s="5" t="str">
        <f ca="1">IFERROR(__xludf.DUMMYFUNCTION("REGEXEXTRACT($B1260, $E$2)"),"uhd")</f>
        <v>uhd</v>
      </c>
      <c r="E1260" s="4"/>
      <c r="F1260" s="4"/>
      <c r="G1260" s="4"/>
      <c r="H1260" s="4"/>
      <c r="I1260" s="4"/>
      <c r="J1260" s="4"/>
      <c r="K1260" s="4"/>
      <c r="L1260" s="4"/>
      <c r="M1260" s="4"/>
      <c r="N1260" s="4"/>
      <c r="O1260" s="4"/>
      <c r="P1260" s="4"/>
      <c r="Q1260" s="4"/>
      <c r="R1260" s="4"/>
      <c r="S1260" s="4"/>
      <c r="T1260" s="4"/>
      <c r="U1260" s="4"/>
      <c r="V1260" s="4"/>
      <c r="W1260" s="4"/>
      <c r="X1260" s="4"/>
      <c r="Y1260" s="4"/>
      <c r="Z1260" s="4"/>
    </row>
    <row r="1261" spans="1:26" ht="15.75" customHeight="1" x14ac:dyDescent="0.2">
      <c r="A1261" s="1" t="s">
        <v>2511</v>
      </c>
      <c r="B1261" s="1" t="s">
        <v>2512</v>
      </c>
      <c r="C1261" s="5" t="str">
        <f ca="1">IFERROR(__xludf.DUMMYFUNCTION("REGEXEXTRACT($B1261, $E$2)"),"uhv")</f>
        <v>uhv</v>
      </c>
      <c r="E1261" s="4"/>
      <c r="F1261" s="4"/>
      <c r="G1261" s="4"/>
      <c r="H1261" s="4"/>
      <c r="I1261" s="4"/>
      <c r="J1261" s="4"/>
      <c r="K1261" s="4"/>
      <c r="L1261" s="4"/>
      <c r="M1261" s="4"/>
      <c r="N1261" s="4"/>
      <c r="O1261" s="4"/>
      <c r="P1261" s="4"/>
      <c r="Q1261" s="4"/>
      <c r="R1261" s="4"/>
      <c r="S1261" s="4"/>
      <c r="T1261" s="4"/>
      <c r="U1261" s="4"/>
      <c r="V1261" s="4"/>
      <c r="W1261" s="4"/>
      <c r="X1261" s="4"/>
      <c r="Y1261" s="4"/>
      <c r="Z1261" s="4"/>
    </row>
    <row r="1262" spans="1:26" ht="15.75" customHeight="1" x14ac:dyDescent="0.2">
      <c r="A1262" s="1" t="s">
        <v>2513</v>
      </c>
      <c r="B1262" s="1" t="s">
        <v>2514</v>
      </c>
      <c r="C1262" s="5" t="str">
        <f ca="1">IFERROR(__xludf.DUMMYFUNCTION("REGEXEXTRACT($B1262, $E$2)"),"uidaho")</f>
        <v>uidaho</v>
      </c>
      <c r="E1262" s="4"/>
      <c r="F1262" s="4"/>
      <c r="G1262" s="4"/>
      <c r="H1262" s="4"/>
      <c r="I1262" s="4"/>
      <c r="J1262" s="4"/>
      <c r="K1262" s="4"/>
      <c r="L1262" s="4"/>
      <c r="M1262" s="4"/>
      <c r="N1262" s="4"/>
      <c r="O1262" s="4"/>
      <c r="P1262" s="4"/>
      <c r="Q1262" s="4"/>
      <c r="R1262" s="4"/>
      <c r="S1262" s="4"/>
      <c r="T1262" s="4"/>
      <c r="U1262" s="4"/>
      <c r="V1262" s="4"/>
      <c r="W1262" s="4"/>
      <c r="X1262" s="4"/>
      <c r="Y1262" s="4"/>
      <c r="Z1262" s="4"/>
    </row>
    <row r="1263" spans="1:26" ht="15.75" customHeight="1" x14ac:dyDescent="0.2">
      <c r="A1263" s="1" t="s">
        <v>2515</v>
      </c>
      <c r="B1263" s="1" t="s">
        <v>2516</v>
      </c>
      <c r="C1263" s="5" t="str">
        <f ca="1">IFERROR(__xludf.DUMMYFUNCTION("REGEXEXTRACT($B1263, $E$2)"),"uic")</f>
        <v>uic</v>
      </c>
      <c r="E1263" s="4"/>
      <c r="F1263" s="4"/>
      <c r="G1263" s="4"/>
      <c r="H1263" s="4"/>
      <c r="I1263" s="4"/>
      <c r="J1263" s="4"/>
      <c r="K1263" s="4"/>
      <c r="L1263" s="4"/>
      <c r="M1263" s="4"/>
      <c r="N1263" s="4"/>
      <c r="O1263" s="4"/>
      <c r="P1263" s="4"/>
      <c r="Q1263" s="4"/>
      <c r="R1263" s="4"/>
      <c r="S1263" s="4"/>
      <c r="T1263" s="4"/>
      <c r="U1263" s="4"/>
      <c r="V1263" s="4"/>
      <c r="W1263" s="4"/>
      <c r="X1263" s="4"/>
      <c r="Y1263" s="4"/>
      <c r="Z1263" s="4"/>
    </row>
    <row r="1264" spans="1:26" ht="15.75" customHeight="1" x14ac:dyDescent="0.2">
      <c r="A1264" s="1" t="s">
        <v>2517</v>
      </c>
      <c r="B1264" s="1" t="s">
        <v>2518</v>
      </c>
      <c r="C1264" s="5" t="str">
        <f ca="1">IFERROR(__xludf.DUMMYFUNCTION("REGEXEXTRACT($B1264, $E$2)"),"uis")</f>
        <v>uis</v>
      </c>
      <c r="E1264" s="4"/>
      <c r="F1264" s="4"/>
      <c r="G1264" s="4"/>
      <c r="H1264" s="4"/>
      <c r="I1264" s="4"/>
      <c r="J1264" s="4"/>
      <c r="K1264" s="4"/>
      <c r="L1264" s="4"/>
      <c r="M1264" s="4"/>
      <c r="N1264" s="4"/>
      <c r="O1264" s="4"/>
      <c r="P1264" s="4"/>
      <c r="Q1264" s="4"/>
      <c r="R1264" s="4"/>
      <c r="S1264" s="4"/>
      <c r="T1264" s="4"/>
      <c r="U1264" s="4"/>
      <c r="V1264" s="4"/>
      <c r="W1264" s="4"/>
      <c r="X1264" s="4"/>
      <c r="Y1264" s="4"/>
      <c r="Z1264" s="4"/>
    </row>
    <row r="1265" spans="1:26" ht="15.75" customHeight="1" x14ac:dyDescent="0.2">
      <c r="A1265" s="1" t="s">
        <v>2519</v>
      </c>
      <c r="B1265" s="1" t="s">
        <v>2520</v>
      </c>
      <c r="C1265" s="5" t="str">
        <f ca="1">IFERROR(__xludf.DUMMYFUNCTION("REGEXEXTRACT($B1265, $E$2)"),"uindy")</f>
        <v>uindy</v>
      </c>
      <c r="E1265" s="4"/>
      <c r="F1265" s="4"/>
      <c r="G1265" s="4"/>
      <c r="H1265" s="4"/>
      <c r="I1265" s="4"/>
      <c r="J1265" s="4"/>
      <c r="K1265" s="4"/>
      <c r="L1265" s="4"/>
      <c r="M1265" s="4"/>
      <c r="N1265" s="4"/>
      <c r="O1265" s="4"/>
      <c r="P1265" s="4"/>
      <c r="Q1265" s="4"/>
      <c r="R1265" s="4"/>
      <c r="S1265" s="4"/>
      <c r="T1265" s="4"/>
      <c r="U1265" s="4"/>
      <c r="V1265" s="4"/>
      <c r="W1265" s="4"/>
      <c r="X1265" s="4"/>
      <c r="Y1265" s="4"/>
      <c r="Z1265" s="4"/>
    </row>
    <row r="1266" spans="1:26" ht="15.75" customHeight="1" x14ac:dyDescent="0.2">
      <c r="A1266" s="1" t="s">
        <v>2521</v>
      </c>
      <c r="B1266" s="1" t="s">
        <v>2522</v>
      </c>
      <c r="C1266" s="5" t="str">
        <f ca="1">IFERROR(__xludf.DUMMYFUNCTION("REGEXEXTRACT($B1266, $E$2)"),"uiowa")</f>
        <v>uiowa</v>
      </c>
      <c r="E1266" s="4"/>
      <c r="F1266" s="4"/>
      <c r="G1266" s="4"/>
      <c r="H1266" s="4"/>
      <c r="I1266" s="4"/>
      <c r="J1266" s="4"/>
      <c r="K1266" s="4"/>
      <c r="L1266" s="4"/>
      <c r="M1266" s="4"/>
      <c r="N1266" s="4"/>
      <c r="O1266" s="4"/>
      <c r="P1266" s="4"/>
      <c r="Q1266" s="4"/>
      <c r="R1266" s="4"/>
      <c r="S1266" s="4"/>
      <c r="T1266" s="4"/>
      <c r="U1266" s="4"/>
      <c r="V1266" s="4"/>
      <c r="W1266" s="4"/>
      <c r="X1266" s="4"/>
      <c r="Y1266" s="4"/>
      <c r="Z1266" s="4"/>
    </row>
    <row r="1267" spans="1:26" ht="15.75" customHeight="1" x14ac:dyDescent="0.2">
      <c r="A1267" s="1" t="s">
        <v>2523</v>
      </c>
      <c r="B1267" s="1" t="s">
        <v>2524</v>
      </c>
      <c r="C1267" s="5" t="str">
        <f ca="1">IFERROR(__xludf.DUMMYFUNCTION("REGEXEXTRACT($B1267, $E$2)"),"uj")</f>
        <v>uj</v>
      </c>
      <c r="E1267" s="4"/>
      <c r="F1267" s="4"/>
      <c r="G1267" s="4"/>
      <c r="H1267" s="4"/>
      <c r="I1267" s="4"/>
      <c r="J1267" s="4"/>
      <c r="K1267" s="4"/>
      <c r="L1267" s="4"/>
      <c r="M1267" s="4"/>
      <c r="N1267" s="4"/>
      <c r="O1267" s="4"/>
      <c r="P1267" s="4"/>
      <c r="Q1267" s="4"/>
      <c r="R1267" s="4"/>
      <c r="S1267" s="4"/>
      <c r="T1267" s="4"/>
      <c r="U1267" s="4"/>
      <c r="V1267" s="4"/>
      <c r="W1267" s="4"/>
      <c r="X1267" s="4"/>
      <c r="Y1267" s="4"/>
      <c r="Z1267" s="4"/>
    </row>
    <row r="1268" spans="1:26" ht="15.75" customHeight="1" x14ac:dyDescent="0.2">
      <c r="A1268" s="1" t="s">
        <v>2525</v>
      </c>
      <c r="B1268" s="1" t="s">
        <v>2526</v>
      </c>
      <c r="C1268" s="5" t="str">
        <f ca="1">IFERROR(__xludf.DUMMYFUNCTION("REGEXEXTRACT($B1268, $E$2)"),"ku")</f>
        <v>ku</v>
      </c>
      <c r="E1268" s="4"/>
      <c r="F1268" s="4"/>
      <c r="G1268" s="4"/>
      <c r="H1268" s="4"/>
      <c r="I1268" s="4"/>
      <c r="J1268" s="4"/>
      <c r="K1268" s="4"/>
      <c r="L1268" s="4"/>
      <c r="M1268" s="4"/>
      <c r="N1268" s="4"/>
      <c r="O1268" s="4"/>
      <c r="P1268" s="4"/>
      <c r="Q1268" s="4"/>
      <c r="R1268" s="4"/>
      <c r="S1268" s="4"/>
      <c r="T1268" s="4"/>
      <c r="U1268" s="4"/>
      <c r="V1268" s="4"/>
      <c r="W1268" s="4"/>
      <c r="X1268" s="4"/>
      <c r="Y1268" s="4"/>
      <c r="Z1268" s="4"/>
    </row>
    <row r="1269" spans="1:26" ht="15.75" customHeight="1" x14ac:dyDescent="0.2">
      <c r="A1269" s="1" t="s">
        <v>2527</v>
      </c>
      <c r="B1269" s="1" t="s">
        <v>2528</v>
      </c>
      <c r="C1269" s="5" t="str">
        <f ca="1">IFERROR(__xludf.DUMMYFUNCTION("REGEXEXTRACT($B1269, $E$2)"),"uky")</f>
        <v>uky</v>
      </c>
      <c r="E1269" s="4"/>
      <c r="F1269" s="4"/>
      <c r="G1269" s="4"/>
      <c r="H1269" s="4"/>
      <c r="I1269" s="4"/>
      <c r="J1269" s="4"/>
      <c r="K1269" s="4"/>
      <c r="L1269" s="4"/>
      <c r="M1269" s="4"/>
      <c r="N1269" s="4"/>
      <c r="O1269" s="4"/>
      <c r="P1269" s="4"/>
      <c r="Q1269" s="4"/>
      <c r="R1269" s="4"/>
      <c r="S1269" s="4"/>
      <c r="T1269" s="4"/>
      <c r="U1269" s="4"/>
      <c r="V1269" s="4"/>
      <c r="W1269" s="4"/>
      <c r="X1269" s="4"/>
      <c r="Y1269" s="4"/>
      <c r="Z1269" s="4"/>
    </row>
    <row r="1270" spans="1:26" ht="15.75" customHeight="1" x14ac:dyDescent="0.2">
      <c r="A1270" s="1" t="s">
        <v>2529</v>
      </c>
      <c r="B1270" s="1" t="s">
        <v>2530</v>
      </c>
      <c r="C1270" s="5" t="str">
        <f ca="1">IFERROR(__xludf.DUMMYFUNCTION("REGEXEXTRACT($B1270, $E$2)"),"laverne")</f>
        <v>laverne</v>
      </c>
      <c r="E1270" s="4"/>
      <c r="F1270" s="4"/>
      <c r="G1270" s="4"/>
      <c r="H1270" s="4"/>
      <c r="I1270" s="4"/>
      <c r="J1270" s="4"/>
      <c r="K1270" s="4"/>
      <c r="L1270" s="4"/>
      <c r="M1270" s="4"/>
      <c r="N1270" s="4"/>
      <c r="O1270" s="4"/>
      <c r="P1270" s="4"/>
      <c r="Q1270" s="4"/>
      <c r="R1270" s="4"/>
      <c r="S1270" s="4"/>
      <c r="T1270" s="4"/>
      <c r="U1270" s="4"/>
      <c r="V1270" s="4"/>
      <c r="W1270" s="4"/>
      <c r="X1270" s="4"/>
      <c r="Y1270" s="4"/>
      <c r="Z1270" s="4"/>
    </row>
    <row r="1271" spans="1:26" ht="15.75" customHeight="1" x14ac:dyDescent="0.2">
      <c r="A1271" s="1" t="s">
        <v>2531</v>
      </c>
      <c r="B1271" s="1" t="s">
        <v>2532</v>
      </c>
      <c r="C1271" s="5" t="str">
        <f ca="1">IFERROR(__xludf.DUMMYFUNCTION("REGEXEXTRACT($B1271, $E$2)"),"louisiana")</f>
        <v>louisiana</v>
      </c>
      <c r="E1271" s="4"/>
      <c r="F1271" s="4"/>
      <c r="G1271" s="4"/>
      <c r="H1271" s="4"/>
      <c r="I1271" s="4"/>
      <c r="J1271" s="4"/>
      <c r="K1271" s="4"/>
      <c r="L1271" s="4"/>
      <c r="M1271" s="4"/>
      <c r="N1271" s="4"/>
      <c r="O1271" s="4"/>
      <c r="P1271" s="4"/>
      <c r="Q1271" s="4"/>
      <c r="R1271" s="4"/>
      <c r="S1271" s="4"/>
      <c r="T1271" s="4"/>
      <c r="U1271" s="4"/>
      <c r="V1271" s="4"/>
      <c r="W1271" s="4"/>
      <c r="X1271" s="4"/>
      <c r="Y1271" s="4"/>
      <c r="Z1271" s="4"/>
    </row>
    <row r="1272" spans="1:26" ht="15.75" customHeight="1" x14ac:dyDescent="0.2">
      <c r="A1272" s="1" t="s">
        <v>2533</v>
      </c>
      <c r="B1272" s="1" t="s">
        <v>2534</v>
      </c>
      <c r="C1272" s="5" t="str">
        <f ca="1">IFERROR(__xludf.DUMMYFUNCTION("REGEXEXTRACT($B1272, $E$2)"),"ulm")</f>
        <v>ulm</v>
      </c>
      <c r="E1272" s="4"/>
      <c r="F1272" s="4"/>
      <c r="G1272" s="4"/>
      <c r="H1272" s="4"/>
      <c r="I1272" s="4"/>
      <c r="J1272" s="4"/>
      <c r="K1272" s="4"/>
      <c r="L1272" s="4"/>
      <c r="M1272" s="4"/>
      <c r="N1272" s="4"/>
      <c r="O1272" s="4"/>
      <c r="P1272" s="4"/>
      <c r="Q1272" s="4"/>
      <c r="R1272" s="4"/>
      <c r="S1272" s="4"/>
      <c r="T1272" s="4"/>
      <c r="U1272" s="4"/>
      <c r="V1272" s="4"/>
      <c r="W1272" s="4"/>
      <c r="X1272" s="4"/>
      <c r="Y1272" s="4"/>
      <c r="Z1272" s="4"/>
    </row>
    <row r="1273" spans="1:26" ht="15.75" customHeight="1" x14ac:dyDescent="0.2">
      <c r="A1273" s="1" t="s">
        <v>2535</v>
      </c>
      <c r="B1273" s="1" t="s">
        <v>2536</v>
      </c>
      <c r="C1273" s="5" t="str">
        <f ca="1">IFERROR(__xludf.DUMMYFUNCTION("REGEXEXTRACT($B1273, $E$2)"),"louisville")</f>
        <v>louisville</v>
      </c>
      <c r="E1273" s="4"/>
      <c r="F1273" s="4"/>
      <c r="G1273" s="4"/>
      <c r="H1273" s="4"/>
      <c r="I1273" s="4"/>
      <c r="J1273" s="4"/>
      <c r="K1273" s="4"/>
      <c r="L1273" s="4"/>
      <c r="M1273" s="4"/>
      <c r="N1273" s="4"/>
      <c r="O1273" s="4"/>
      <c r="P1273" s="4"/>
      <c r="Q1273" s="4"/>
      <c r="R1273" s="4"/>
      <c r="S1273" s="4"/>
      <c r="T1273" s="4"/>
      <c r="U1273" s="4"/>
      <c r="V1273" s="4"/>
      <c r="W1273" s="4"/>
      <c r="X1273" s="4"/>
      <c r="Y1273" s="4"/>
      <c r="Z1273" s="4"/>
    </row>
    <row r="1274" spans="1:26" ht="15.75" customHeight="1" x14ac:dyDescent="0.2">
      <c r="A1274" s="1" t="s">
        <v>2537</v>
      </c>
      <c r="B1274" s="1" t="s">
        <v>2538</v>
      </c>
      <c r="C1274" s="5" t="str">
        <f ca="1">IFERROR(__xludf.DUMMYFUNCTION("REGEXEXTRACT($B1274, $E$2)"),"lynchburg")</f>
        <v>lynchburg</v>
      </c>
      <c r="E1274" s="4"/>
      <c r="F1274" s="4"/>
      <c r="G1274" s="4"/>
      <c r="H1274" s="4"/>
      <c r="I1274" s="4"/>
      <c r="J1274" s="4"/>
      <c r="K1274" s="4"/>
      <c r="L1274" s="4"/>
      <c r="M1274" s="4"/>
      <c r="N1274" s="4"/>
      <c r="O1274" s="4"/>
      <c r="P1274" s="4"/>
      <c r="Q1274" s="4"/>
      <c r="R1274" s="4"/>
      <c r="S1274" s="4"/>
      <c r="T1274" s="4"/>
      <c r="U1274" s="4"/>
      <c r="V1274" s="4"/>
      <c r="W1274" s="4"/>
      <c r="X1274" s="4"/>
      <c r="Y1274" s="4"/>
      <c r="Z1274" s="4"/>
    </row>
    <row r="1275" spans="1:26" ht="15.75" customHeight="1" x14ac:dyDescent="0.2">
      <c r="A1275" s="1" t="s">
        <v>2539</v>
      </c>
      <c r="B1275" s="1" t="s">
        <v>2540</v>
      </c>
      <c r="C1275" s="5" t="str">
        <f ca="1">IFERROR(__xludf.DUMMYFUNCTION("REGEXEXTRACT($B1275, $E$2)"),"maine")</f>
        <v>maine</v>
      </c>
      <c r="E1275" s="4"/>
      <c r="F1275" s="4"/>
      <c r="G1275" s="4"/>
      <c r="H1275" s="4"/>
      <c r="I1275" s="4"/>
      <c r="J1275" s="4"/>
      <c r="K1275" s="4"/>
      <c r="L1275" s="4"/>
      <c r="M1275" s="4"/>
      <c r="N1275" s="4"/>
      <c r="O1275" s="4"/>
      <c r="P1275" s="4"/>
      <c r="Q1275" s="4"/>
      <c r="R1275" s="4"/>
      <c r="S1275" s="4"/>
      <c r="T1275" s="4"/>
      <c r="U1275" s="4"/>
      <c r="V1275" s="4"/>
      <c r="W1275" s="4"/>
      <c r="X1275" s="4"/>
      <c r="Y1275" s="4"/>
      <c r="Z1275" s="4"/>
    </row>
    <row r="1276" spans="1:26" ht="15.75" customHeight="1" x14ac:dyDescent="0.2">
      <c r="A1276" s="1" t="s">
        <v>2541</v>
      </c>
      <c r="B1276" s="1" t="s">
        <v>2542</v>
      </c>
      <c r="C1276" s="5" t="str">
        <f ca="1">IFERROR(__xludf.DUMMYFUNCTION("REGEXEXTRACT($B1276, $E$2)"),"umary")</f>
        <v>umary</v>
      </c>
      <c r="E1276" s="4"/>
      <c r="F1276" s="4"/>
      <c r="G1276" s="4"/>
      <c r="H1276" s="4"/>
      <c r="I1276" s="4"/>
      <c r="J1276" s="4"/>
      <c r="K1276" s="4"/>
      <c r="L1276" s="4"/>
      <c r="M1276" s="4"/>
      <c r="N1276" s="4"/>
      <c r="O1276" s="4"/>
      <c r="P1276" s="4"/>
      <c r="Q1276" s="4"/>
      <c r="R1276" s="4"/>
      <c r="S1276" s="4"/>
      <c r="T1276" s="4"/>
      <c r="U1276" s="4"/>
      <c r="V1276" s="4"/>
      <c r="W1276" s="4"/>
      <c r="X1276" s="4"/>
      <c r="Y1276" s="4"/>
      <c r="Z1276" s="4"/>
    </row>
    <row r="1277" spans="1:26" ht="15.75" customHeight="1" x14ac:dyDescent="0.2">
      <c r="A1277" s="1" t="s">
        <v>2543</v>
      </c>
      <c r="B1277" s="1" t="s">
        <v>2544</v>
      </c>
      <c r="C1277" s="5" t="str">
        <f ca="1">IFERROR(__xludf.DUMMYFUNCTION("REGEXEXTRACT($B1277, $E$2)"),"umhb")</f>
        <v>umhb</v>
      </c>
      <c r="E1277" s="4"/>
      <c r="F1277" s="4"/>
      <c r="G1277" s="4"/>
      <c r="H1277" s="4"/>
      <c r="I1277" s="4"/>
      <c r="J1277" s="4"/>
      <c r="K1277" s="4"/>
      <c r="L1277" s="4"/>
      <c r="M1277" s="4"/>
      <c r="N1277" s="4"/>
      <c r="O1277" s="4"/>
      <c r="P1277" s="4"/>
      <c r="Q1277" s="4"/>
      <c r="R1277" s="4"/>
      <c r="S1277" s="4"/>
      <c r="T1277" s="4"/>
      <c r="U1277" s="4"/>
      <c r="V1277" s="4"/>
      <c r="W1277" s="4"/>
      <c r="X1277" s="4"/>
      <c r="Y1277" s="4"/>
      <c r="Z1277" s="4"/>
    </row>
    <row r="1278" spans="1:26" ht="15.75" customHeight="1" x14ac:dyDescent="0.2">
      <c r="A1278" s="1" t="s">
        <v>2545</v>
      </c>
      <c r="B1278" s="1" t="s">
        <v>2546</v>
      </c>
      <c r="C1278" s="5" t="str">
        <f ca="1">IFERROR(__xludf.DUMMYFUNCTION("REGEXEXTRACT($B1278, $E$2)"),"umw")</f>
        <v>umw</v>
      </c>
      <c r="E1278" s="4"/>
      <c r="F1278" s="4"/>
      <c r="G1278" s="4"/>
      <c r="H1278" s="4"/>
      <c r="I1278" s="4"/>
      <c r="J1278" s="4"/>
      <c r="K1278" s="4"/>
      <c r="L1278" s="4"/>
      <c r="M1278" s="4"/>
      <c r="N1278" s="4"/>
      <c r="O1278" s="4"/>
      <c r="P1278" s="4"/>
      <c r="Q1278" s="4"/>
      <c r="R1278" s="4"/>
      <c r="S1278" s="4"/>
      <c r="T1278" s="4"/>
      <c r="U1278" s="4"/>
      <c r="V1278" s="4"/>
      <c r="W1278" s="4"/>
      <c r="X1278" s="4"/>
      <c r="Y1278" s="4"/>
      <c r="Z1278" s="4"/>
    </row>
    <row r="1279" spans="1:26" ht="15.75" customHeight="1" x14ac:dyDescent="0.2">
      <c r="A1279" s="1" t="s">
        <v>2547</v>
      </c>
      <c r="B1279" s="1" t="s">
        <v>2548</v>
      </c>
      <c r="C1279" s="5" t="str">
        <f ca="1">IFERROR(__xludf.DUMMYFUNCTION("REGEXEXTRACT($B1279, $E$2)"),"umbc")</f>
        <v>umbc</v>
      </c>
      <c r="E1279" s="4"/>
      <c r="F1279" s="4"/>
      <c r="G1279" s="4"/>
      <c r="H1279" s="4"/>
      <c r="I1279" s="4"/>
      <c r="J1279" s="4"/>
      <c r="K1279" s="4"/>
      <c r="L1279" s="4"/>
      <c r="M1279" s="4"/>
      <c r="N1279" s="4"/>
      <c r="O1279" s="4"/>
      <c r="P1279" s="4"/>
      <c r="Q1279" s="4"/>
      <c r="R1279" s="4"/>
      <c r="S1279" s="4"/>
      <c r="T1279" s="4"/>
      <c r="U1279" s="4"/>
      <c r="V1279" s="4"/>
      <c r="W1279" s="4"/>
      <c r="X1279" s="4"/>
      <c r="Y1279" s="4"/>
      <c r="Z1279" s="4"/>
    </row>
    <row r="1280" spans="1:26" ht="15.75" customHeight="1" x14ac:dyDescent="0.2">
      <c r="A1280" s="1" t="s">
        <v>2549</v>
      </c>
      <c r="B1280" s="1" t="s">
        <v>2550</v>
      </c>
      <c r="C1280" s="5" t="str">
        <f ca="1">IFERROR(__xludf.DUMMYFUNCTION("REGEXEXTRACT($B1280, $E$2)"),"umes")</f>
        <v>umes</v>
      </c>
      <c r="E1280" s="4"/>
      <c r="F1280" s="4"/>
      <c r="G1280" s="4"/>
      <c r="H1280" s="4"/>
      <c r="I1280" s="4"/>
      <c r="J1280" s="4"/>
      <c r="K1280" s="4"/>
      <c r="L1280" s="4"/>
      <c r="M1280" s="4"/>
      <c r="N1280" s="4"/>
      <c r="O1280" s="4"/>
      <c r="P1280" s="4"/>
      <c r="Q1280" s="4"/>
      <c r="R1280" s="4"/>
      <c r="S1280" s="4"/>
      <c r="T1280" s="4"/>
      <c r="U1280" s="4"/>
      <c r="V1280" s="4"/>
      <c r="W1280" s="4"/>
      <c r="X1280" s="4"/>
      <c r="Y1280" s="4"/>
      <c r="Z1280" s="4"/>
    </row>
    <row r="1281" spans="1:26" ht="15.75" customHeight="1" x14ac:dyDescent="0.2">
      <c r="A1281" s="1" t="s">
        <v>2551</v>
      </c>
      <c r="B1281" s="9" t="s">
        <v>2552</v>
      </c>
      <c r="C1281" s="5" t="str">
        <f ca="1">IFERROR(__xludf.DUMMYFUNCTION("REGEXEXTRACT($B1281, $E$2)"),"umuc")</f>
        <v>umuc</v>
      </c>
      <c r="E1281" s="4"/>
      <c r="F1281" s="4"/>
      <c r="G1281" s="4"/>
      <c r="H1281" s="4"/>
      <c r="I1281" s="4"/>
      <c r="J1281" s="4"/>
      <c r="K1281" s="4"/>
      <c r="L1281" s="4"/>
      <c r="M1281" s="4"/>
      <c r="N1281" s="4"/>
      <c r="O1281" s="4"/>
      <c r="P1281" s="4"/>
      <c r="Q1281" s="4"/>
      <c r="R1281" s="4"/>
      <c r="S1281" s="4"/>
      <c r="T1281" s="4"/>
      <c r="U1281" s="4"/>
      <c r="V1281" s="4"/>
      <c r="W1281" s="4"/>
      <c r="X1281" s="4"/>
      <c r="Y1281" s="4"/>
      <c r="Z1281" s="4"/>
    </row>
    <row r="1282" spans="1:26" ht="15.75" customHeight="1" x14ac:dyDescent="0.2">
      <c r="A1282" s="1" t="s">
        <v>2553</v>
      </c>
      <c r="B1282" s="1" t="s">
        <v>2554</v>
      </c>
      <c r="C1282" s="5" t="str">
        <f ca="1">IFERROR(__xludf.DUMMYFUNCTION("REGEXEXTRACT($B1282, $E$2)"),"umb")</f>
        <v>umb</v>
      </c>
      <c r="E1282" s="4"/>
      <c r="F1282" s="4"/>
      <c r="G1282" s="4"/>
      <c r="H1282" s="4"/>
      <c r="I1282" s="4"/>
      <c r="J1282" s="4"/>
      <c r="K1282" s="4"/>
      <c r="L1282" s="4"/>
      <c r="M1282" s="4"/>
      <c r="N1282" s="4"/>
      <c r="O1282" s="4"/>
      <c r="P1282" s="4"/>
      <c r="Q1282" s="4"/>
      <c r="R1282" s="4"/>
      <c r="S1282" s="4"/>
      <c r="T1282" s="4"/>
      <c r="U1282" s="4"/>
      <c r="V1282" s="4"/>
      <c r="W1282" s="4"/>
      <c r="X1282" s="4"/>
      <c r="Y1282" s="4"/>
      <c r="Z1282" s="4"/>
    </row>
    <row r="1283" spans="1:26" ht="15.75" customHeight="1" x14ac:dyDescent="0.2">
      <c r="A1283" s="1" t="s">
        <v>2555</v>
      </c>
      <c r="B1283" s="1" t="s">
        <v>2556</v>
      </c>
      <c r="C1283" s="5" t="str">
        <f ca="1">IFERROR(__xludf.DUMMYFUNCTION("REGEXEXTRACT($B1283, $E$2)"),"umassd")</f>
        <v>umassd</v>
      </c>
      <c r="E1283" s="4"/>
      <c r="F1283" s="4"/>
      <c r="G1283" s="4"/>
      <c r="H1283" s="4"/>
      <c r="I1283" s="4"/>
      <c r="J1283" s="4"/>
      <c r="K1283" s="4"/>
      <c r="L1283" s="4"/>
      <c r="M1283" s="4"/>
      <c r="N1283" s="4"/>
      <c r="O1283" s="4"/>
      <c r="P1283" s="4"/>
      <c r="Q1283" s="4"/>
      <c r="R1283" s="4"/>
      <c r="S1283" s="4"/>
      <c r="T1283" s="4"/>
      <c r="U1283" s="4"/>
      <c r="V1283" s="4"/>
      <c r="W1283" s="4"/>
      <c r="X1283" s="4"/>
      <c r="Y1283" s="4"/>
      <c r="Z1283" s="4"/>
    </row>
    <row r="1284" spans="1:26" ht="15.75" customHeight="1" x14ac:dyDescent="0.2">
      <c r="A1284" s="1" t="s">
        <v>2557</v>
      </c>
      <c r="B1284" s="1" t="s">
        <v>2558</v>
      </c>
      <c r="C1284" s="5" t="str">
        <f ca="1">IFERROR(__xludf.DUMMYFUNCTION("REGEXEXTRACT($B1284, $E$2)"),"uml")</f>
        <v>uml</v>
      </c>
      <c r="E1284" s="4"/>
      <c r="F1284" s="4"/>
      <c r="G1284" s="4"/>
      <c r="H1284" s="4"/>
      <c r="I1284" s="4"/>
      <c r="J1284" s="4"/>
      <c r="K1284" s="4"/>
      <c r="L1284" s="4"/>
      <c r="M1284" s="4"/>
      <c r="N1284" s="4"/>
      <c r="O1284" s="4"/>
      <c r="P1284" s="4"/>
      <c r="Q1284" s="4"/>
      <c r="R1284" s="4"/>
      <c r="S1284" s="4"/>
      <c r="T1284" s="4"/>
      <c r="U1284" s="4"/>
      <c r="V1284" s="4"/>
      <c r="W1284" s="4"/>
      <c r="X1284" s="4"/>
      <c r="Y1284" s="4"/>
      <c r="Z1284" s="4"/>
    </row>
    <row r="1285" spans="1:26" ht="15.75" customHeight="1" x14ac:dyDescent="0.2">
      <c r="A1285" s="1" t="s">
        <v>2559</v>
      </c>
      <c r="B1285" s="1" t="s">
        <v>2560</v>
      </c>
      <c r="C1285" s="5" t="str">
        <f ca="1">IFERROR(__xludf.DUMMYFUNCTION("REGEXEXTRACT($B1285, $E$2)"),"memphis")</f>
        <v>memphis</v>
      </c>
      <c r="E1285" s="4"/>
      <c r="F1285" s="4"/>
      <c r="G1285" s="4"/>
      <c r="H1285" s="4"/>
      <c r="I1285" s="4"/>
      <c r="J1285" s="4"/>
      <c r="K1285" s="4"/>
      <c r="L1285" s="4"/>
      <c r="M1285" s="4"/>
      <c r="N1285" s="4"/>
      <c r="O1285" s="4"/>
      <c r="P1285" s="4"/>
      <c r="Q1285" s="4"/>
      <c r="R1285" s="4"/>
      <c r="S1285" s="4"/>
      <c r="T1285" s="4"/>
      <c r="U1285" s="4"/>
      <c r="V1285" s="4"/>
      <c r="W1285" s="4"/>
      <c r="X1285" s="4"/>
      <c r="Y1285" s="4"/>
      <c r="Z1285" s="4"/>
    </row>
    <row r="1286" spans="1:26" ht="15.75" customHeight="1" x14ac:dyDescent="0.2">
      <c r="A1286" s="1" t="s">
        <v>2561</v>
      </c>
      <c r="B1286" s="1" t="s">
        <v>2562</v>
      </c>
      <c r="C1286" s="5" t="str">
        <f ca="1">IFERROR(__xludf.DUMMYFUNCTION("REGEXEXTRACT($B1286, $E$2)"),"miami")</f>
        <v>miami</v>
      </c>
      <c r="E1286" s="4"/>
      <c r="F1286" s="4"/>
      <c r="G1286" s="4"/>
      <c r="H1286" s="4"/>
      <c r="I1286" s="4"/>
      <c r="J1286" s="4"/>
      <c r="K1286" s="4"/>
      <c r="L1286" s="4"/>
      <c r="M1286" s="4"/>
      <c r="N1286" s="4"/>
      <c r="O1286" s="4"/>
      <c r="P1286" s="4"/>
      <c r="Q1286" s="4"/>
      <c r="R1286" s="4"/>
      <c r="S1286" s="4"/>
      <c r="T1286" s="4"/>
      <c r="U1286" s="4"/>
      <c r="V1286" s="4"/>
      <c r="W1286" s="4"/>
      <c r="X1286" s="4"/>
      <c r="Y1286" s="4"/>
      <c r="Z1286" s="4"/>
    </row>
    <row r="1287" spans="1:26" ht="15.75" customHeight="1" x14ac:dyDescent="0.2">
      <c r="A1287" s="1" t="s">
        <v>2563</v>
      </c>
      <c r="B1287" s="1" t="s">
        <v>2564</v>
      </c>
      <c r="C1287" s="5" t="str">
        <f ca="1">IFERROR(__xludf.DUMMYFUNCTION("REGEXEXTRACT($B1287, $E$2)"),"umich")</f>
        <v>umich</v>
      </c>
      <c r="E1287" s="4"/>
      <c r="F1287" s="4"/>
      <c r="G1287" s="4"/>
      <c r="H1287" s="4"/>
      <c r="I1287" s="4"/>
      <c r="J1287" s="4"/>
      <c r="K1287" s="4"/>
      <c r="L1287" s="4"/>
      <c r="M1287" s="4"/>
      <c r="N1287" s="4"/>
      <c r="O1287" s="4"/>
      <c r="P1287" s="4"/>
      <c r="Q1287" s="4"/>
      <c r="R1287" s="4"/>
      <c r="S1287" s="4"/>
      <c r="T1287" s="4"/>
      <c r="U1287" s="4"/>
      <c r="V1287" s="4"/>
      <c r="W1287" s="4"/>
      <c r="X1287" s="4"/>
      <c r="Y1287" s="4"/>
      <c r="Z1287" s="4"/>
    </row>
    <row r="1288" spans="1:26" ht="15.75" customHeight="1" x14ac:dyDescent="0.2">
      <c r="A1288" s="1" t="s">
        <v>2565</v>
      </c>
      <c r="B1288" s="1" t="s">
        <v>2566</v>
      </c>
      <c r="C1288" s="5" t="str">
        <f ca="1">IFERROR(__xludf.DUMMYFUNCTION("REGEXEXTRACT($B1288, $E$2)"),"umflint")</f>
        <v>umflint</v>
      </c>
      <c r="E1288" s="4"/>
      <c r="F1288" s="4"/>
      <c r="G1288" s="4"/>
      <c r="H1288" s="4"/>
      <c r="I1288" s="4"/>
      <c r="J1288" s="4"/>
      <c r="K1288" s="4"/>
      <c r="L1288" s="4"/>
      <c r="M1288" s="4"/>
      <c r="N1288" s="4"/>
      <c r="O1288" s="4"/>
      <c r="P1288" s="4"/>
      <c r="Q1288" s="4"/>
      <c r="R1288" s="4"/>
      <c r="S1288" s="4"/>
      <c r="T1288" s="4"/>
      <c r="U1288" s="4"/>
      <c r="V1288" s="4"/>
      <c r="W1288" s="4"/>
      <c r="X1288" s="4"/>
      <c r="Y1288" s="4"/>
      <c r="Z1288" s="4"/>
    </row>
    <row r="1289" spans="1:26" ht="15.75" customHeight="1" x14ac:dyDescent="0.2">
      <c r="A1289" s="1" t="s">
        <v>2567</v>
      </c>
      <c r="B1289" s="1" t="s">
        <v>2568</v>
      </c>
      <c r="C1289" s="5" t="str">
        <f ca="1">IFERROR(__xludf.DUMMYFUNCTION("REGEXEXTRACT($B1289, $E$2)"),"umn")</f>
        <v>umn</v>
      </c>
      <c r="E1289" s="4"/>
      <c r="F1289" s="4"/>
      <c r="G1289" s="4"/>
      <c r="H1289" s="4"/>
      <c r="I1289" s="4"/>
      <c r="J1289" s="4"/>
      <c r="K1289" s="4"/>
      <c r="L1289" s="4"/>
      <c r="M1289" s="4"/>
      <c r="N1289" s="4"/>
      <c r="O1289" s="4"/>
      <c r="P1289" s="4"/>
      <c r="Q1289" s="4"/>
      <c r="R1289" s="4"/>
      <c r="S1289" s="4"/>
      <c r="T1289" s="4"/>
      <c r="U1289" s="4"/>
      <c r="V1289" s="4"/>
      <c r="W1289" s="4"/>
      <c r="X1289" s="4"/>
      <c r="Y1289" s="4"/>
      <c r="Z1289" s="4"/>
    </row>
    <row r="1290" spans="1:26" ht="15.75" customHeight="1" x14ac:dyDescent="0.2">
      <c r="A1290" s="1" t="s">
        <v>2569</v>
      </c>
      <c r="B1290" s="1" t="s">
        <v>2570</v>
      </c>
      <c r="C1290" s="5" t="str">
        <f ca="1">IFERROR(__xludf.DUMMYFUNCTION("REGEXEXTRACT($B1290, $E$2)"),"missouri")</f>
        <v>missouri</v>
      </c>
      <c r="E1290" s="4"/>
      <c r="F1290" s="4"/>
      <c r="G1290" s="4"/>
      <c r="H1290" s="4"/>
      <c r="I1290" s="4"/>
      <c r="J1290" s="4"/>
      <c r="K1290" s="4"/>
      <c r="L1290" s="4"/>
      <c r="M1290" s="4"/>
      <c r="N1290" s="4"/>
      <c r="O1290" s="4"/>
      <c r="P1290" s="4"/>
      <c r="Q1290" s="4"/>
      <c r="R1290" s="4"/>
      <c r="S1290" s="4"/>
      <c r="T1290" s="4"/>
      <c r="U1290" s="4"/>
      <c r="V1290" s="4"/>
      <c r="W1290" s="4"/>
      <c r="X1290" s="4"/>
      <c r="Y1290" s="4"/>
      <c r="Z1290" s="4"/>
    </row>
    <row r="1291" spans="1:26" ht="15.75" customHeight="1" x14ac:dyDescent="0.2">
      <c r="A1291" s="1" t="s">
        <v>2571</v>
      </c>
      <c r="B1291" s="1" t="s">
        <v>2572</v>
      </c>
      <c r="C1291" s="5" t="str">
        <f ca="1">IFERROR(__xludf.DUMMYFUNCTION("REGEXEXTRACT($B1291, $E$2)"),"umkc")</f>
        <v>umkc</v>
      </c>
      <c r="E1291" s="4"/>
      <c r="F1291" s="4"/>
      <c r="G1291" s="4"/>
      <c r="H1291" s="4"/>
      <c r="I1291" s="4"/>
      <c r="J1291" s="4"/>
      <c r="K1291" s="4"/>
      <c r="L1291" s="4"/>
      <c r="M1291" s="4"/>
      <c r="N1291" s="4"/>
      <c r="O1291" s="4"/>
      <c r="P1291" s="4"/>
      <c r="Q1291" s="4"/>
      <c r="R1291" s="4"/>
      <c r="S1291" s="4"/>
      <c r="T1291" s="4"/>
      <c r="U1291" s="4"/>
      <c r="V1291" s="4"/>
      <c r="W1291" s="4"/>
      <c r="X1291" s="4"/>
      <c r="Y1291" s="4"/>
      <c r="Z1291" s="4"/>
    </row>
    <row r="1292" spans="1:26" ht="15.75" customHeight="1" x14ac:dyDescent="0.2">
      <c r="A1292" s="1" t="s">
        <v>2573</v>
      </c>
      <c r="B1292" s="1" t="s">
        <v>2574</v>
      </c>
      <c r="C1292" s="5" t="str">
        <f ca="1">IFERROR(__xludf.DUMMYFUNCTION("REGEXEXTRACT($B1292, $E$2)"),"umsl")</f>
        <v>umsl</v>
      </c>
      <c r="E1292" s="4"/>
      <c r="F1292" s="4"/>
      <c r="G1292" s="4"/>
      <c r="H1292" s="4"/>
      <c r="I1292" s="4"/>
      <c r="J1292" s="4"/>
      <c r="K1292" s="4"/>
      <c r="L1292" s="4"/>
      <c r="M1292" s="4"/>
      <c r="N1292" s="4"/>
      <c r="O1292" s="4"/>
      <c r="P1292" s="4"/>
      <c r="Q1292" s="4"/>
      <c r="R1292" s="4"/>
      <c r="S1292" s="4"/>
      <c r="T1292" s="4"/>
      <c r="U1292" s="4"/>
      <c r="V1292" s="4"/>
      <c r="W1292" s="4"/>
      <c r="X1292" s="4"/>
      <c r="Y1292" s="4"/>
      <c r="Z1292" s="4"/>
    </row>
    <row r="1293" spans="1:26" ht="15.75" customHeight="1" x14ac:dyDescent="0.2">
      <c r="A1293" s="1" t="s">
        <v>2575</v>
      </c>
      <c r="B1293" s="1" t="s">
        <v>2576</v>
      </c>
      <c r="C1293" s="5" t="str">
        <f ca="1">IFERROR(__xludf.DUMMYFUNCTION("REGEXEXTRACT($B1293, $E$2)"),"umobile")</f>
        <v>umobile</v>
      </c>
      <c r="E1293" s="4"/>
      <c r="F1293" s="4"/>
      <c r="G1293" s="4"/>
      <c r="H1293" s="4"/>
      <c r="I1293" s="4"/>
      <c r="J1293" s="4"/>
      <c r="K1293" s="4"/>
      <c r="L1293" s="4"/>
      <c r="M1293" s="4"/>
      <c r="N1293" s="4"/>
      <c r="O1293" s="4"/>
      <c r="P1293" s="4"/>
      <c r="Q1293" s="4"/>
      <c r="R1293" s="4"/>
      <c r="S1293" s="4"/>
      <c r="T1293" s="4"/>
      <c r="U1293" s="4"/>
      <c r="V1293" s="4"/>
      <c r="W1293" s="4"/>
      <c r="X1293" s="4"/>
      <c r="Y1293" s="4"/>
      <c r="Z1293" s="4"/>
    </row>
    <row r="1294" spans="1:26" ht="15.75" customHeight="1" x14ac:dyDescent="0.2">
      <c r="A1294" s="1" t="s">
        <v>2577</v>
      </c>
      <c r="B1294" s="1" t="s">
        <v>2578</v>
      </c>
      <c r="C1294" s="5" t="str">
        <f ca="1">IFERROR(__xludf.DUMMYFUNCTION("REGEXEXTRACT($B1294, $E$2)"),"montevallo")</f>
        <v>montevallo</v>
      </c>
      <c r="E1294" s="4"/>
      <c r="F1294" s="4"/>
      <c r="G1294" s="4"/>
      <c r="H1294" s="4"/>
      <c r="I1294" s="4"/>
      <c r="J1294" s="4"/>
      <c r="K1294" s="4"/>
      <c r="L1294" s="4"/>
      <c r="M1294" s="4"/>
      <c r="N1294" s="4"/>
      <c r="O1294" s="4"/>
      <c r="P1294" s="4"/>
      <c r="Q1294" s="4"/>
      <c r="R1294" s="4"/>
      <c r="S1294" s="4"/>
      <c r="T1294" s="4"/>
      <c r="U1294" s="4"/>
      <c r="V1294" s="4"/>
      <c r="W1294" s="4"/>
      <c r="X1294" s="4"/>
      <c r="Y1294" s="4"/>
      <c r="Z1294" s="4"/>
    </row>
    <row r="1295" spans="1:26" ht="15.75" customHeight="1" x14ac:dyDescent="0.2">
      <c r="A1295" s="1" t="s">
        <v>2579</v>
      </c>
      <c r="B1295" s="1" t="s">
        <v>2580</v>
      </c>
      <c r="C1295" s="5" t="str">
        <f ca="1">IFERROR(__xludf.DUMMYFUNCTION("REGEXEXTRACT($B1295, $E$2)"),"mountunion")</f>
        <v>mountunion</v>
      </c>
      <c r="E1295" s="4"/>
      <c r="F1295" s="4"/>
      <c r="G1295" s="4"/>
      <c r="H1295" s="4"/>
      <c r="I1295" s="4"/>
      <c r="J1295" s="4"/>
      <c r="K1295" s="4"/>
      <c r="L1295" s="4"/>
      <c r="M1295" s="4"/>
      <c r="N1295" s="4"/>
      <c r="O1295" s="4"/>
      <c r="P1295" s="4"/>
      <c r="Q1295" s="4"/>
      <c r="R1295" s="4"/>
      <c r="S1295" s="4"/>
      <c r="T1295" s="4"/>
      <c r="U1295" s="4"/>
      <c r="V1295" s="4"/>
      <c r="W1295" s="4"/>
      <c r="X1295" s="4"/>
      <c r="Y1295" s="4"/>
      <c r="Z1295" s="4"/>
    </row>
    <row r="1296" spans="1:26" ht="15.75" customHeight="1" x14ac:dyDescent="0.2">
      <c r="A1296" s="1" t="s">
        <v>2581</v>
      </c>
      <c r="B1296" s="1" t="s">
        <v>2582</v>
      </c>
      <c r="C1296" s="5" t="str">
        <f ca="1">IFERROR(__xludf.DUMMYFUNCTION("REGEXEXTRACT($B1296, $E$2)"),"unk")</f>
        <v>unk</v>
      </c>
      <c r="E1296" s="4"/>
      <c r="F1296" s="4"/>
      <c r="G1296" s="4"/>
      <c r="H1296" s="4"/>
      <c r="I1296" s="4"/>
      <c r="J1296" s="4"/>
      <c r="K1296" s="4"/>
      <c r="L1296" s="4"/>
      <c r="M1296" s="4"/>
      <c r="N1296" s="4"/>
      <c r="O1296" s="4"/>
      <c r="P1296" s="4"/>
      <c r="Q1296" s="4"/>
      <c r="R1296" s="4"/>
      <c r="S1296" s="4"/>
      <c r="T1296" s="4"/>
      <c r="U1296" s="4"/>
      <c r="V1296" s="4"/>
      <c r="W1296" s="4"/>
      <c r="X1296" s="4"/>
      <c r="Y1296" s="4"/>
      <c r="Z1296" s="4"/>
    </row>
    <row r="1297" spans="1:26" ht="15.75" customHeight="1" x14ac:dyDescent="0.2">
      <c r="A1297" s="1" t="s">
        <v>2583</v>
      </c>
      <c r="B1297" s="1" t="s">
        <v>2584</v>
      </c>
      <c r="C1297" s="5" t="str">
        <f ca="1">IFERROR(__xludf.DUMMYFUNCTION("REGEXEXTRACT($B1297, $E$2)"),"unl")</f>
        <v>unl</v>
      </c>
      <c r="E1297" s="4"/>
      <c r="F1297" s="4"/>
      <c r="G1297" s="4"/>
      <c r="H1297" s="4"/>
      <c r="I1297" s="4"/>
      <c r="J1297" s="4"/>
      <c r="K1297" s="4"/>
      <c r="L1297" s="4"/>
      <c r="M1297" s="4"/>
      <c r="N1297" s="4"/>
      <c r="O1297" s="4"/>
      <c r="P1297" s="4"/>
      <c r="Q1297" s="4"/>
      <c r="R1297" s="4"/>
      <c r="S1297" s="4"/>
      <c r="T1297" s="4"/>
      <c r="U1297" s="4"/>
      <c r="V1297" s="4"/>
      <c r="W1297" s="4"/>
      <c r="X1297" s="4"/>
      <c r="Y1297" s="4"/>
      <c r="Z1297" s="4"/>
    </row>
    <row r="1298" spans="1:26" ht="15.75" customHeight="1" x14ac:dyDescent="0.2">
      <c r="A1298" s="1" t="s">
        <v>2585</v>
      </c>
      <c r="B1298" s="1" t="s">
        <v>2586</v>
      </c>
      <c r="C1298" s="5" t="str">
        <f ca="1">IFERROR(__xludf.DUMMYFUNCTION("REGEXEXTRACT($B1298, $E$2)"),"unomaha")</f>
        <v>unomaha</v>
      </c>
      <c r="E1298" s="4"/>
      <c r="F1298" s="4"/>
      <c r="G1298" s="4"/>
      <c r="H1298" s="4"/>
      <c r="I1298" s="4"/>
      <c r="J1298" s="4"/>
      <c r="K1298" s="4"/>
      <c r="L1298" s="4"/>
      <c r="M1298" s="4"/>
      <c r="N1298" s="4"/>
      <c r="O1298" s="4"/>
      <c r="P1298" s="4"/>
      <c r="Q1298" s="4"/>
      <c r="R1298" s="4"/>
      <c r="S1298" s="4"/>
      <c r="T1298" s="4"/>
      <c r="U1298" s="4"/>
      <c r="V1298" s="4"/>
      <c r="W1298" s="4"/>
      <c r="X1298" s="4"/>
      <c r="Y1298" s="4"/>
      <c r="Z1298" s="4"/>
    </row>
    <row r="1299" spans="1:26" ht="15.75" customHeight="1" x14ac:dyDescent="0.2">
      <c r="A1299" s="1" t="s">
        <v>2587</v>
      </c>
      <c r="B1299" s="1" t="s">
        <v>2588</v>
      </c>
      <c r="C1299" s="5" t="str">
        <f ca="1">IFERROR(__xludf.DUMMYFUNCTION("REGEXEXTRACT($B1299, $E$2)"),"unlv")</f>
        <v>unlv</v>
      </c>
      <c r="E1299" s="4"/>
      <c r="F1299" s="4"/>
      <c r="G1299" s="4"/>
      <c r="H1299" s="4"/>
      <c r="I1299" s="4"/>
      <c r="J1299" s="4"/>
      <c r="K1299" s="4"/>
      <c r="L1299" s="4"/>
      <c r="M1299" s="4"/>
      <c r="N1299" s="4"/>
      <c r="O1299" s="4"/>
      <c r="P1299" s="4"/>
      <c r="Q1299" s="4"/>
      <c r="R1299" s="4"/>
      <c r="S1299" s="4"/>
      <c r="T1299" s="4"/>
      <c r="U1299" s="4"/>
      <c r="V1299" s="4"/>
      <c r="W1299" s="4"/>
      <c r="X1299" s="4"/>
      <c r="Y1299" s="4"/>
      <c r="Z1299" s="4"/>
    </row>
    <row r="1300" spans="1:26" ht="15.75" customHeight="1" x14ac:dyDescent="0.2">
      <c r="A1300" s="1" t="s">
        <v>2589</v>
      </c>
      <c r="B1300" s="1" t="s">
        <v>2590</v>
      </c>
      <c r="C1300" s="5" t="str">
        <f ca="1">IFERROR(__xludf.DUMMYFUNCTION("REGEXEXTRACT($B1300, $E$2)"),"unr")</f>
        <v>unr</v>
      </c>
      <c r="E1300" s="4"/>
      <c r="F1300" s="4"/>
      <c r="G1300" s="4"/>
      <c r="H1300" s="4"/>
      <c r="I1300" s="4"/>
      <c r="J1300" s="4"/>
      <c r="K1300" s="4"/>
      <c r="L1300" s="4"/>
      <c r="M1300" s="4"/>
      <c r="N1300" s="4"/>
      <c r="O1300" s="4"/>
      <c r="P1300" s="4"/>
      <c r="Q1300" s="4"/>
      <c r="R1300" s="4"/>
      <c r="S1300" s="4"/>
      <c r="T1300" s="4"/>
      <c r="U1300" s="4"/>
      <c r="V1300" s="4"/>
      <c r="W1300" s="4"/>
      <c r="X1300" s="4"/>
      <c r="Y1300" s="4"/>
      <c r="Z1300" s="4"/>
    </row>
    <row r="1301" spans="1:26" ht="15.75" customHeight="1" x14ac:dyDescent="0.2">
      <c r="A1301" s="1" t="s">
        <v>2591</v>
      </c>
      <c r="B1301" s="1" t="s">
        <v>2592</v>
      </c>
      <c r="C1301" s="5" t="str">
        <f ca="1">IFERROR(__xludf.DUMMYFUNCTION("REGEXEXTRACT($B1301, $E$2)"),"une")</f>
        <v>une</v>
      </c>
      <c r="E1301" s="4"/>
      <c r="F1301" s="4"/>
      <c r="G1301" s="4"/>
      <c r="H1301" s="4"/>
      <c r="I1301" s="4"/>
      <c r="J1301" s="4"/>
      <c r="K1301" s="4"/>
      <c r="L1301" s="4"/>
      <c r="M1301" s="4"/>
      <c r="N1301" s="4"/>
      <c r="O1301" s="4"/>
      <c r="P1301" s="4"/>
      <c r="Q1301" s="4"/>
      <c r="R1301" s="4"/>
      <c r="S1301" s="4"/>
      <c r="T1301" s="4"/>
      <c r="U1301" s="4"/>
      <c r="V1301" s="4"/>
      <c r="W1301" s="4"/>
      <c r="X1301" s="4"/>
      <c r="Y1301" s="4"/>
      <c r="Z1301" s="4"/>
    </row>
    <row r="1302" spans="1:26" ht="15.75" customHeight="1" x14ac:dyDescent="0.2">
      <c r="A1302" s="1" t="s">
        <v>2593</v>
      </c>
      <c r="B1302" s="1" t="s">
        <v>2594</v>
      </c>
      <c r="C1302" s="5" t="str">
        <f ca="1">IFERROR(__xludf.DUMMYFUNCTION("REGEXEXTRACT($B1302, $E$2)"),"unh")</f>
        <v>unh</v>
      </c>
      <c r="E1302" s="4"/>
      <c r="F1302" s="4"/>
      <c r="G1302" s="4"/>
      <c r="H1302" s="4"/>
      <c r="I1302" s="4"/>
      <c r="J1302" s="4"/>
      <c r="K1302" s="4"/>
      <c r="L1302" s="4"/>
      <c r="M1302" s="4"/>
      <c r="N1302" s="4"/>
      <c r="O1302" s="4"/>
      <c r="P1302" s="4"/>
      <c r="Q1302" s="4"/>
      <c r="R1302" s="4"/>
      <c r="S1302" s="4"/>
      <c r="T1302" s="4"/>
      <c r="U1302" s="4"/>
      <c r="V1302" s="4"/>
      <c r="W1302" s="4"/>
      <c r="X1302" s="4"/>
      <c r="Y1302" s="4"/>
      <c r="Z1302" s="4"/>
    </row>
    <row r="1303" spans="1:26" ht="15.75" customHeight="1" x14ac:dyDescent="0.2">
      <c r="A1303" s="1" t="s">
        <v>2595</v>
      </c>
      <c r="B1303" s="1" t="s">
        <v>2596</v>
      </c>
      <c r="C1303" s="5" t="str">
        <f ca="1">IFERROR(__xludf.DUMMYFUNCTION("REGEXEXTRACT($B1303, $E$2)"),"uno")</f>
        <v>uno</v>
      </c>
      <c r="E1303" s="4"/>
      <c r="F1303" s="4"/>
      <c r="G1303" s="4"/>
      <c r="H1303" s="4"/>
      <c r="I1303" s="4"/>
      <c r="J1303" s="4"/>
      <c r="K1303" s="4"/>
      <c r="L1303" s="4"/>
      <c r="M1303" s="4"/>
      <c r="N1303" s="4"/>
      <c r="O1303" s="4"/>
      <c r="P1303" s="4"/>
      <c r="Q1303" s="4"/>
      <c r="R1303" s="4"/>
      <c r="S1303" s="4"/>
      <c r="T1303" s="4"/>
      <c r="U1303" s="4"/>
      <c r="V1303" s="4"/>
      <c r="W1303" s="4"/>
      <c r="X1303" s="4"/>
      <c r="Y1303" s="4"/>
      <c r="Z1303" s="4"/>
    </row>
    <row r="1304" spans="1:26" ht="15.75" customHeight="1" x14ac:dyDescent="0.2">
      <c r="A1304" s="1" t="s">
        <v>2597</v>
      </c>
      <c r="B1304" s="1" t="s">
        <v>2598</v>
      </c>
      <c r="C1304" s="5" t="str">
        <f ca="1">IFERROR(__xludf.DUMMYFUNCTION("REGEXEXTRACT($B1304, $E$2)"),"una")</f>
        <v>una</v>
      </c>
      <c r="E1304" s="4"/>
      <c r="F1304" s="4"/>
      <c r="G1304" s="4"/>
      <c r="H1304" s="4"/>
      <c r="I1304" s="4"/>
      <c r="J1304" s="4"/>
      <c r="K1304" s="4"/>
      <c r="L1304" s="4"/>
      <c r="M1304" s="4"/>
      <c r="N1304" s="4"/>
      <c r="O1304" s="4"/>
      <c r="P1304" s="4"/>
      <c r="Q1304" s="4"/>
      <c r="R1304" s="4"/>
      <c r="S1304" s="4"/>
      <c r="T1304" s="4"/>
      <c r="U1304" s="4"/>
      <c r="V1304" s="4"/>
      <c r="W1304" s="4"/>
      <c r="X1304" s="4"/>
      <c r="Y1304" s="4"/>
      <c r="Z1304" s="4"/>
    </row>
    <row r="1305" spans="1:26" ht="15.75" customHeight="1" x14ac:dyDescent="0.2">
      <c r="A1305" s="1" t="s">
        <v>2599</v>
      </c>
      <c r="B1305" s="1" t="s">
        <v>2600</v>
      </c>
      <c r="C1305" s="5" t="str">
        <f ca="1">IFERROR(__xludf.DUMMYFUNCTION("REGEXEXTRACT($B1305, $E$2)"),"unca")</f>
        <v>unca</v>
      </c>
      <c r="E1305" s="4"/>
      <c r="F1305" s="4"/>
      <c r="G1305" s="4"/>
      <c r="H1305" s="4"/>
      <c r="I1305" s="4"/>
      <c r="J1305" s="4"/>
      <c r="K1305" s="4"/>
      <c r="L1305" s="4"/>
      <c r="M1305" s="4"/>
      <c r="N1305" s="4"/>
      <c r="O1305" s="4"/>
      <c r="P1305" s="4"/>
      <c r="Q1305" s="4"/>
      <c r="R1305" s="4"/>
      <c r="S1305" s="4"/>
      <c r="T1305" s="4"/>
      <c r="U1305" s="4"/>
      <c r="V1305" s="4"/>
      <c r="W1305" s="4"/>
      <c r="X1305" s="4"/>
      <c r="Y1305" s="4"/>
      <c r="Z1305" s="4"/>
    </row>
    <row r="1306" spans="1:26" ht="15.75" customHeight="1" x14ac:dyDescent="0.2">
      <c r="A1306" s="1" t="s">
        <v>2601</v>
      </c>
      <c r="B1306" s="1" t="s">
        <v>2602</v>
      </c>
      <c r="C1306" s="5" t="str">
        <f ca="1">IFERROR(__xludf.DUMMYFUNCTION("REGEXEXTRACT($B1306, $E$2)"),"uncp")</f>
        <v>uncp</v>
      </c>
      <c r="E1306" s="4"/>
      <c r="F1306" s="4"/>
      <c r="G1306" s="4"/>
      <c r="H1306" s="4"/>
      <c r="I1306" s="4"/>
      <c r="J1306" s="4"/>
      <c r="K1306" s="4"/>
      <c r="L1306" s="4"/>
      <c r="M1306" s="4"/>
      <c r="N1306" s="4"/>
      <c r="O1306" s="4"/>
      <c r="P1306" s="4"/>
      <c r="Q1306" s="4"/>
      <c r="R1306" s="4"/>
      <c r="S1306" s="4"/>
      <c r="T1306" s="4"/>
      <c r="U1306" s="4"/>
      <c r="V1306" s="4"/>
      <c r="W1306" s="4"/>
      <c r="X1306" s="4"/>
      <c r="Y1306" s="4"/>
      <c r="Z1306" s="4"/>
    </row>
    <row r="1307" spans="1:26" ht="15.75" customHeight="1" x14ac:dyDescent="0.2">
      <c r="A1307" s="1" t="s">
        <v>2603</v>
      </c>
      <c r="B1307" s="1" t="s">
        <v>2604</v>
      </c>
      <c r="C1307" s="5" t="str">
        <f ca="1">IFERROR(__xludf.DUMMYFUNCTION("REGEXEXTRACT($B1307, $E$2)"),"unc")</f>
        <v>unc</v>
      </c>
      <c r="E1307" s="4"/>
      <c r="F1307" s="4"/>
      <c r="G1307" s="4"/>
      <c r="H1307" s="4"/>
      <c r="I1307" s="4"/>
      <c r="J1307" s="4"/>
      <c r="K1307" s="4"/>
      <c r="L1307" s="4"/>
      <c r="M1307" s="4"/>
      <c r="N1307" s="4"/>
      <c r="O1307" s="4"/>
      <c r="P1307" s="4"/>
      <c r="Q1307" s="4"/>
      <c r="R1307" s="4"/>
      <c r="S1307" s="4"/>
      <c r="T1307" s="4"/>
      <c r="U1307" s="4"/>
      <c r="V1307" s="4"/>
      <c r="W1307" s="4"/>
      <c r="X1307" s="4"/>
      <c r="Y1307" s="4"/>
      <c r="Z1307" s="4"/>
    </row>
    <row r="1308" spans="1:26" ht="15.75" customHeight="1" x14ac:dyDescent="0.2">
      <c r="A1308" s="1" t="s">
        <v>2605</v>
      </c>
      <c r="B1308" s="1" t="s">
        <v>2606</v>
      </c>
      <c r="C1308" s="5" t="str">
        <f ca="1">IFERROR(__xludf.DUMMYFUNCTION("REGEXEXTRACT($B1308, $E$2)"),"uncc")</f>
        <v>uncc</v>
      </c>
      <c r="E1308" s="4"/>
      <c r="F1308" s="4"/>
      <c r="G1308" s="4"/>
      <c r="H1308" s="4"/>
      <c r="I1308" s="4"/>
      <c r="J1308" s="4"/>
      <c r="K1308" s="4"/>
      <c r="L1308" s="4"/>
      <c r="M1308" s="4"/>
      <c r="N1308" s="4"/>
      <c r="O1308" s="4"/>
      <c r="P1308" s="4"/>
      <c r="Q1308" s="4"/>
      <c r="R1308" s="4"/>
      <c r="S1308" s="4"/>
      <c r="T1308" s="4"/>
      <c r="U1308" s="4"/>
      <c r="V1308" s="4"/>
      <c r="W1308" s="4"/>
      <c r="X1308" s="4"/>
      <c r="Y1308" s="4"/>
      <c r="Z1308" s="4"/>
    </row>
    <row r="1309" spans="1:26" ht="15.75" customHeight="1" x14ac:dyDescent="0.2">
      <c r="A1309" s="1" t="s">
        <v>2607</v>
      </c>
      <c r="B1309" s="1" t="s">
        <v>2608</v>
      </c>
      <c r="C1309" s="5" t="str">
        <f ca="1">IFERROR(__xludf.DUMMYFUNCTION("REGEXEXTRACT($B1309, $E$2)"),"uncg")</f>
        <v>uncg</v>
      </c>
      <c r="E1309" s="4"/>
      <c r="F1309" s="4"/>
      <c r="G1309" s="4"/>
      <c r="H1309" s="4"/>
      <c r="I1309" s="4"/>
      <c r="J1309" s="4"/>
      <c r="K1309" s="4"/>
      <c r="L1309" s="4"/>
      <c r="M1309" s="4"/>
      <c r="N1309" s="4"/>
      <c r="O1309" s="4"/>
      <c r="P1309" s="4"/>
      <c r="Q1309" s="4"/>
      <c r="R1309" s="4"/>
      <c r="S1309" s="4"/>
      <c r="T1309" s="4"/>
      <c r="U1309" s="4"/>
      <c r="V1309" s="4"/>
      <c r="W1309" s="4"/>
      <c r="X1309" s="4"/>
      <c r="Y1309" s="4"/>
      <c r="Z1309" s="4"/>
    </row>
    <row r="1310" spans="1:26" ht="15.75" customHeight="1" x14ac:dyDescent="0.2">
      <c r="A1310" s="1" t="s">
        <v>2609</v>
      </c>
      <c r="B1310" s="1" t="s">
        <v>2610</v>
      </c>
      <c r="C1310" s="5" t="str">
        <f ca="1">IFERROR(__xludf.DUMMYFUNCTION("REGEXEXTRACT($B1310, $E$2)"),"uncsa")</f>
        <v>uncsa</v>
      </c>
      <c r="E1310" s="4"/>
      <c r="F1310" s="4"/>
      <c r="G1310" s="4"/>
      <c r="H1310" s="4"/>
      <c r="I1310" s="4"/>
      <c r="J1310" s="4"/>
      <c r="K1310" s="4"/>
      <c r="L1310" s="4"/>
      <c r="M1310" s="4"/>
      <c r="N1310" s="4"/>
      <c r="O1310" s="4"/>
      <c r="P1310" s="4"/>
      <c r="Q1310" s="4"/>
      <c r="R1310" s="4"/>
      <c r="S1310" s="4"/>
      <c r="T1310" s="4"/>
      <c r="U1310" s="4"/>
      <c r="V1310" s="4"/>
      <c r="W1310" s="4"/>
      <c r="X1310" s="4"/>
      <c r="Y1310" s="4"/>
      <c r="Z1310" s="4"/>
    </row>
    <row r="1311" spans="1:26" ht="15.75" customHeight="1" x14ac:dyDescent="0.2">
      <c r="A1311" s="1" t="s">
        <v>2611</v>
      </c>
      <c r="B1311" s="1" t="s">
        <v>2612</v>
      </c>
      <c r="C1311" s="5" t="str">
        <f ca="1">IFERROR(__xludf.DUMMYFUNCTION("REGEXEXTRACT($B1311, $E$2)"),"uncw")</f>
        <v>uncw</v>
      </c>
      <c r="E1311" s="4"/>
      <c r="F1311" s="4"/>
      <c r="G1311" s="4"/>
      <c r="H1311" s="4"/>
      <c r="I1311" s="4"/>
      <c r="J1311" s="4"/>
      <c r="K1311" s="4"/>
      <c r="L1311" s="4"/>
      <c r="M1311" s="4"/>
      <c r="N1311" s="4"/>
      <c r="O1311" s="4"/>
      <c r="P1311" s="4"/>
      <c r="Q1311" s="4"/>
      <c r="R1311" s="4"/>
      <c r="S1311" s="4"/>
      <c r="T1311" s="4"/>
      <c r="U1311" s="4"/>
      <c r="V1311" s="4"/>
      <c r="W1311" s="4"/>
      <c r="X1311" s="4"/>
      <c r="Y1311" s="4"/>
      <c r="Z1311" s="4"/>
    </row>
    <row r="1312" spans="1:26" ht="15.75" customHeight="1" x14ac:dyDescent="0.2">
      <c r="A1312" s="1" t="s">
        <v>2613</v>
      </c>
      <c r="B1312" s="1" t="s">
        <v>2614</v>
      </c>
      <c r="C1312" s="5" t="str">
        <f ca="1">IFERROR(__xludf.DUMMYFUNCTION("REGEXEXTRACT($B1312, $E$2)"),"und")</f>
        <v>und</v>
      </c>
      <c r="E1312" s="4"/>
      <c r="F1312" s="4"/>
      <c r="G1312" s="4"/>
      <c r="H1312" s="4"/>
      <c r="I1312" s="4"/>
      <c r="J1312" s="4"/>
      <c r="K1312" s="4"/>
      <c r="L1312" s="4"/>
      <c r="M1312" s="4"/>
      <c r="N1312" s="4"/>
      <c r="O1312" s="4"/>
      <c r="P1312" s="4"/>
      <c r="Q1312" s="4"/>
      <c r="R1312" s="4"/>
      <c r="S1312" s="4"/>
      <c r="T1312" s="4"/>
      <c r="U1312" s="4"/>
      <c r="V1312" s="4"/>
      <c r="W1312" s="4"/>
      <c r="X1312" s="4"/>
      <c r="Y1312" s="4"/>
      <c r="Z1312" s="4"/>
    </row>
    <row r="1313" spans="1:26" ht="15.75" customHeight="1" x14ac:dyDescent="0.2">
      <c r="A1313" s="1" t="s">
        <v>2615</v>
      </c>
      <c r="B1313" s="1" t="s">
        <v>2616</v>
      </c>
      <c r="C1313" s="5" t="str">
        <f ca="1">IFERROR(__xludf.DUMMYFUNCTION("REGEXEXTRACT($B1313, $E$2)"),"unf")</f>
        <v>unf</v>
      </c>
      <c r="E1313" s="4"/>
      <c r="F1313" s="4"/>
      <c r="G1313" s="4"/>
      <c r="H1313" s="4"/>
      <c r="I1313" s="4"/>
      <c r="J1313" s="4"/>
      <c r="K1313" s="4"/>
      <c r="L1313" s="4"/>
      <c r="M1313" s="4"/>
      <c r="N1313" s="4"/>
      <c r="O1313" s="4"/>
      <c r="P1313" s="4"/>
      <c r="Q1313" s="4"/>
      <c r="R1313" s="4"/>
      <c r="S1313" s="4"/>
      <c r="T1313" s="4"/>
      <c r="U1313" s="4"/>
      <c r="V1313" s="4"/>
      <c r="W1313" s="4"/>
      <c r="X1313" s="4"/>
      <c r="Y1313" s="4"/>
      <c r="Z1313" s="4"/>
    </row>
    <row r="1314" spans="1:26" ht="15.75" customHeight="1" x14ac:dyDescent="0.2">
      <c r="A1314" s="1" t="s">
        <v>2617</v>
      </c>
      <c r="B1314" s="1" t="s">
        <v>2618</v>
      </c>
      <c r="C1314" s="5" t="str">
        <f ca="1">IFERROR(__xludf.DUMMYFUNCTION("REGEXEXTRACT($B1314, $E$2)"),"ung")</f>
        <v>ung</v>
      </c>
      <c r="E1314" s="4"/>
      <c r="F1314" s="4"/>
      <c r="G1314" s="4"/>
      <c r="H1314" s="4"/>
      <c r="I1314" s="4"/>
      <c r="J1314" s="4"/>
      <c r="K1314" s="4"/>
      <c r="L1314" s="4"/>
      <c r="M1314" s="4"/>
      <c r="N1314" s="4"/>
      <c r="O1314" s="4"/>
      <c r="P1314" s="4"/>
      <c r="Q1314" s="4"/>
      <c r="R1314" s="4"/>
      <c r="S1314" s="4"/>
      <c r="T1314" s="4"/>
      <c r="U1314" s="4"/>
      <c r="V1314" s="4"/>
      <c r="W1314" s="4"/>
      <c r="X1314" s="4"/>
      <c r="Y1314" s="4"/>
      <c r="Z1314" s="4"/>
    </row>
    <row r="1315" spans="1:26" ht="15.75" customHeight="1" x14ac:dyDescent="0.2">
      <c r="A1315" s="1" t="s">
        <v>2619</v>
      </c>
      <c r="B1315" s="1" t="s">
        <v>2620</v>
      </c>
      <c r="C1315" s="5" t="str">
        <f ca="1">IFERROR(__xludf.DUMMYFUNCTION("REGEXEXTRACT($B1315, $E$2)"),"unt")</f>
        <v>unt</v>
      </c>
      <c r="E1315" s="4"/>
      <c r="F1315" s="4"/>
      <c r="G1315" s="4"/>
      <c r="H1315" s="4"/>
      <c r="I1315" s="4"/>
      <c r="J1315" s="4"/>
      <c r="K1315" s="4"/>
      <c r="L1315" s="4"/>
      <c r="M1315" s="4"/>
      <c r="N1315" s="4"/>
      <c r="O1315" s="4"/>
      <c r="P1315" s="4"/>
      <c r="Q1315" s="4"/>
      <c r="R1315" s="4"/>
      <c r="S1315" s="4"/>
      <c r="T1315" s="4"/>
      <c r="U1315" s="4"/>
      <c r="V1315" s="4"/>
      <c r="W1315" s="4"/>
      <c r="X1315" s="4"/>
      <c r="Y1315" s="4"/>
      <c r="Z1315" s="4"/>
    </row>
    <row r="1316" spans="1:26" ht="15.75" customHeight="1" x14ac:dyDescent="0.2">
      <c r="A1316" s="1" t="s">
        <v>2621</v>
      </c>
      <c r="B1316" s="1" t="s">
        <v>2622</v>
      </c>
      <c r="C1316" s="5" t="str">
        <f ca="1">IFERROR(__xludf.DUMMYFUNCTION("REGEXEXTRACT($B1316, $E$2)"),"unco")</f>
        <v>unco</v>
      </c>
      <c r="E1316" s="4"/>
      <c r="F1316" s="4"/>
      <c r="G1316" s="4"/>
      <c r="H1316" s="4"/>
      <c r="I1316" s="4"/>
      <c r="J1316" s="4"/>
      <c r="K1316" s="4"/>
      <c r="L1316" s="4"/>
      <c r="M1316" s="4"/>
      <c r="N1316" s="4"/>
      <c r="O1316" s="4"/>
      <c r="P1316" s="4"/>
      <c r="Q1316" s="4"/>
      <c r="R1316" s="4"/>
      <c r="S1316" s="4"/>
      <c r="T1316" s="4"/>
      <c r="U1316" s="4"/>
      <c r="V1316" s="4"/>
      <c r="W1316" s="4"/>
      <c r="X1316" s="4"/>
      <c r="Y1316" s="4"/>
      <c r="Z1316" s="4"/>
    </row>
    <row r="1317" spans="1:26" ht="15.75" customHeight="1" x14ac:dyDescent="0.2">
      <c r="A1317" s="1" t="s">
        <v>2623</v>
      </c>
      <c r="B1317" s="1" t="s">
        <v>2624</v>
      </c>
      <c r="C1317" s="5" t="str">
        <f ca="1">IFERROR(__xludf.DUMMYFUNCTION("REGEXEXTRACT($B1317, $E$2)"),"uni")</f>
        <v>uni</v>
      </c>
      <c r="E1317" s="4"/>
      <c r="F1317" s="4"/>
      <c r="G1317" s="4"/>
      <c r="H1317" s="4"/>
      <c r="I1317" s="4"/>
      <c r="J1317" s="4"/>
      <c r="K1317" s="4"/>
      <c r="L1317" s="4"/>
      <c r="M1317" s="4"/>
      <c r="N1317" s="4"/>
      <c r="O1317" s="4"/>
      <c r="P1317" s="4"/>
      <c r="Q1317" s="4"/>
      <c r="R1317" s="4"/>
      <c r="S1317" s="4"/>
      <c r="T1317" s="4"/>
      <c r="U1317" s="4"/>
      <c r="V1317" s="4"/>
      <c r="W1317" s="4"/>
      <c r="X1317" s="4"/>
      <c r="Y1317" s="4"/>
      <c r="Z1317" s="4"/>
    </row>
    <row r="1318" spans="1:26" ht="15.75" customHeight="1" x14ac:dyDescent="0.2">
      <c r="A1318" s="1" t="s">
        <v>2625</v>
      </c>
      <c r="B1318" s="1" t="s">
        <v>2626</v>
      </c>
      <c r="C1318" s="5" t="str">
        <f ca="1">IFERROR(__xludf.DUMMYFUNCTION("REGEXEXTRACT($B1318, $E$2)"),"unwsp")</f>
        <v>unwsp</v>
      </c>
      <c r="E1318" s="4"/>
      <c r="F1318" s="4"/>
      <c r="G1318" s="4"/>
      <c r="H1318" s="4"/>
      <c r="I1318" s="4"/>
      <c r="J1318" s="4"/>
      <c r="K1318" s="4"/>
      <c r="L1318" s="4"/>
      <c r="M1318" s="4"/>
      <c r="N1318" s="4"/>
      <c r="O1318" s="4"/>
      <c r="P1318" s="4"/>
      <c r="Q1318" s="4"/>
      <c r="R1318" s="4"/>
      <c r="S1318" s="4"/>
      <c r="T1318" s="4"/>
      <c r="U1318" s="4"/>
      <c r="V1318" s="4"/>
      <c r="W1318" s="4"/>
      <c r="X1318" s="4"/>
      <c r="Y1318" s="4"/>
      <c r="Z1318" s="4"/>
    </row>
    <row r="1319" spans="1:26" ht="15.75" customHeight="1" x14ac:dyDescent="0.2">
      <c r="A1319" s="1" t="s">
        <v>2627</v>
      </c>
      <c r="B1319" s="1" t="s">
        <v>2628</v>
      </c>
      <c r="C1319" s="5" t="str">
        <f ca="1">IFERROR(__xludf.DUMMYFUNCTION("REGEXEXTRACT($B1319, $E$2)"),"nd")</f>
        <v>nd</v>
      </c>
      <c r="E1319" s="4"/>
      <c r="F1319" s="4"/>
      <c r="G1319" s="4"/>
      <c r="H1319" s="4"/>
      <c r="I1319" s="4"/>
      <c r="J1319" s="4"/>
      <c r="K1319" s="4"/>
      <c r="L1319" s="4"/>
      <c r="M1319" s="4"/>
      <c r="N1319" s="4"/>
      <c r="O1319" s="4"/>
      <c r="P1319" s="4"/>
      <c r="Q1319" s="4"/>
      <c r="R1319" s="4"/>
      <c r="S1319" s="4"/>
      <c r="T1319" s="4"/>
      <c r="U1319" s="4"/>
      <c r="V1319" s="4"/>
      <c r="W1319" s="4"/>
      <c r="X1319" s="4"/>
      <c r="Y1319" s="4"/>
      <c r="Z1319" s="4"/>
    </row>
    <row r="1320" spans="1:26" ht="15.75" customHeight="1" x14ac:dyDescent="0.2">
      <c r="A1320" s="1" t="s">
        <v>2629</v>
      </c>
      <c r="B1320" s="1" t="s">
        <v>2630</v>
      </c>
      <c r="C1320" s="5" t="str">
        <f ca="1">IFERROR(__xludf.DUMMYFUNCTION("REGEXEXTRACT($B1320, $E$2)"),"ou")</f>
        <v>ou</v>
      </c>
      <c r="E1320" s="4"/>
      <c r="F1320" s="4"/>
      <c r="G1320" s="4"/>
      <c r="H1320" s="4"/>
      <c r="I1320" s="4"/>
      <c r="J1320" s="4"/>
      <c r="K1320" s="4"/>
      <c r="L1320" s="4"/>
      <c r="M1320" s="4"/>
      <c r="N1320" s="4"/>
      <c r="O1320" s="4"/>
      <c r="P1320" s="4"/>
      <c r="Q1320" s="4"/>
      <c r="R1320" s="4"/>
      <c r="S1320" s="4"/>
      <c r="T1320" s="4"/>
      <c r="U1320" s="4"/>
      <c r="V1320" s="4"/>
      <c r="W1320" s="4"/>
      <c r="X1320" s="4"/>
      <c r="Y1320" s="4"/>
      <c r="Z1320" s="4"/>
    </row>
    <row r="1321" spans="1:26" ht="15.75" customHeight="1" x14ac:dyDescent="0.2">
      <c r="A1321" s="1" t="s">
        <v>2631</v>
      </c>
      <c r="B1321" s="1" t="s">
        <v>2632</v>
      </c>
      <c r="C1321" s="5" t="str">
        <f ca="1">IFERROR(__xludf.DUMMYFUNCTION("REGEXEXTRACT($B1321, $E$2)"),"uoregon")</f>
        <v>uoregon</v>
      </c>
      <c r="E1321" s="4"/>
      <c r="F1321" s="4"/>
      <c r="G1321" s="4"/>
      <c r="H1321" s="4"/>
      <c r="I1321" s="4"/>
      <c r="J1321" s="4"/>
      <c r="K1321" s="4"/>
      <c r="L1321" s="4"/>
      <c r="M1321" s="4"/>
      <c r="N1321" s="4"/>
      <c r="O1321" s="4"/>
      <c r="P1321" s="4"/>
      <c r="Q1321" s="4"/>
      <c r="R1321" s="4"/>
      <c r="S1321" s="4"/>
      <c r="T1321" s="4"/>
      <c r="U1321" s="4"/>
      <c r="V1321" s="4"/>
      <c r="W1321" s="4"/>
      <c r="X1321" s="4"/>
      <c r="Y1321" s="4"/>
      <c r="Z1321" s="4"/>
    </row>
    <row r="1322" spans="1:26" ht="15.75" customHeight="1" x14ac:dyDescent="0.2">
      <c r="A1322" s="1" t="s">
        <v>2633</v>
      </c>
      <c r="B1322" s="1" t="s">
        <v>2634</v>
      </c>
      <c r="C1322" s="5" t="str">
        <f ca="1">IFERROR(__xludf.DUMMYFUNCTION("REGEXEXTRACT($B1322, $E$2)"),"pacific")</f>
        <v>pacific</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ht="15.75" customHeight="1" x14ac:dyDescent="0.2">
      <c r="A1323" s="1" t="s">
        <v>2635</v>
      </c>
      <c r="B1323" s="1" t="s">
        <v>2636</v>
      </c>
      <c r="C1323" s="5" t="str">
        <f ca="1">IFERROR(__xludf.DUMMYFUNCTION("REGEXEXTRACT($B1323, $E$2)"),"upenn")</f>
        <v>upenn</v>
      </c>
      <c r="E1323" s="4"/>
      <c r="F1323" s="4"/>
      <c r="G1323" s="4"/>
      <c r="H1323" s="4"/>
      <c r="I1323" s="4"/>
      <c r="J1323" s="4"/>
      <c r="K1323" s="4"/>
      <c r="L1323" s="4"/>
      <c r="M1323" s="4"/>
      <c r="N1323" s="4"/>
      <c r="O1323" s="4"/>
      <c r="P1323" s="4"/>
      <c r="Q1323" s="4"/>
      <c r="R1323" s="4"/>
      <c r="S1323" s="4"/>
      <c r="T1323" s="4"/>
      <c r="U1323" s="4"/>
      <c r="V1323" s="4"/>
      <c r="W1323" s="4"/>
      <c r="X1323" s="4"/>
      <c r="Y1323" s="4"/>
      <c r="Z1323" s="4"/>
    </row>
    <row r="1324" spans="1:26" ht="15.75" customHeight="1" x14ac:dyDescent="0.2">
      <c r="A1324" s="1" t="s">
        <v>2637</v>
      </c>
      <c r="B1324" s="1" t="s">
        <v>2638</v>
      </c>
      <c r="C1324" s="5" t="str">
        <f ca="1">IFERROR(__xludf.DUMMYFUNCTION("REGEXEXTRACT($B1324, $E$2)"),"upike")</f>
        <v>upike</v>
      </c>
      <c r="E1324" s="4"/>
      <c r="F1324" s="4"/>
      <c r="G1324" s="4"/>
      <c r="H1324" s="4"/>
      <c r="I1324" s="4"/>
      <c r="J1324" s="4"/>
      <c r="K1324" s="4"/>
      <c r="L1324" s="4"/>
      <c r="M1324" s="4"/>
      <c r="N1324" s="4"/>
      <c r="O1324" s="4"/>
      <c r="P1324" s="4"/>
      <c r="Q1324" s="4"/>
      <c r="R1324" s="4"/>
      <c r="S1324" s="4"/>
      <c r="T1324" s="4"/>
      <c r="U1324" s="4"/>
      <c r="V1324" s="4"/>
      <c r="W1324" s="4"/>
      <c r="X1324" s="4"/>
      <c r="Y1324" s="4"/>
      <c r="Z1324" s="4"/>
    </row>
    <row r="1325" spans="1:26" ht="15.75" customHeight="1" x14ac:dyDescent="0.2">
      <c r="A1325" s="1" t="s">
        <v>2639</v>
      </c>
      <c r="B1325" s="1" t="s">
        <v>2640</v>
      </c>
      <c r="C1325" s="5" t="str">
        <f ca="1">IFERROR(__xludf.DUMMYFUNCTION("REGEXEXTRACT($B1325, $E$2)"),"pitt")</f>
        <v>pitt</v>
      </c>
      <c r="E1325" s="4"/>
      <c r="F1325" s="4"/>
      <c r="G1325" s="4"/>
      <c r="H1325" s="4"/>
      <c r="I1325" s="4"/>
      <c r="J1325" s="4"/>
      <c r="K1325" s="4"/>
      <c r="L1325" s="4"/>
      <c r="M1325" s="4"/>
      <c r="N1325" s="4"/>
      <c r="O1325" s="4"/>
      <c r="P1325" s="4"/>
      <c r="Q1325" s="4"/>
      <c r="R1325" s="4"/>
      <c r="S1325" s="4"/>
      <c r="T1325" s="4"/>
      <c r="U1325" s="4"/>
      <c r="V1325" s="4"/>
      <c r="W1325" s="4"/>
      <c r="X1325" s="4"/>
      <c r="Y1325" s="4"/>
      <c r="Z1325" s="4"/>
    </row>
    <row r="1326" spans="1:26" ht="15.75" customHeight="1" x14ac:dyDescent="0.2">
      <c r="A1326" s="1" t="s">
        <v>2641</v>
      </c>
      <c r="B1326" s="1" t="s">
        <v>2642</v>
      </c>
      <c r="C1326" s="5" t="str">
        <f ca="1">IFERROR(__xludf.DUMMYFUNCTION("REGEXEXTRACT($B1326, $E$2)"),"up")</f>
        <v>up</v>
      </c>
      <c r="E1326" s="4"/>
      <c r="F1326" s="4"/>
      <c r="G1326" s="4"/>
      <c r="H1326" s="4"/>
      <c r="I1326" s="4"/>
      <c r="J1326" s="4"/>
      <c r="K1326" s="4"/>
      <c r="L1326" s="4"/>
      <c r="M1326" s="4"/>
      <c r="N1326" s="4"/>
      <c r="O1326" s="4"/>
      <c r="P1326" s="4"/>
      <c r="Q1326" s="4"/>
      <c r="R1326" s="4"/>
      <c r="S1326" s="4"/>
      <c r="T1326" s="4"/>
      <c r="U1326" s="4"/>
      <c r="V1326" s="4"/>
      <c r="W1326" s="4"/>
      <c r="X1326" s="4"/>
      <c r="Y1326" s="4"/>
      <c r="Z1326" s="4"/>
    </row>
    <row r="1327" spans="1:26" ht="15.75" customHeight="1" x14ac:dyDescent="0.2">
      <c r="A1327" s="1" t="s">
        <v>2643</v>
      </c>
      <c r="B1327" s="1" t="s">
        <v>2644</v>
      </c>
      <c r="C1327" s="5" t="str">
        <f ca="1">IFERROR(__xludf.DUMMYFUNCTION("REGEXEXTRACT($B1327, $E$2)"),"uprovidence")</f>
        <v>uprovidence</v>
      </c>
      <c r="E1327" s="4"/>
      <c r="F1327" s="4"/>
      <c r="G1327" s="4"/>
      <c r="H1327" s="4"/>
      <c r="I1327" s="4"/>
      <c r="J1327" s="4"/>
      <c r="K1327" s="4"/>
      <c r="L1327" s="4"/>
      <c r="M1327" s="4"/>
      <c r="N1327" s="4"/>
      <c r="O1327" s="4"/>
      <c r="P1327" s="4"/>
      <c r="Q1327" s="4"/>
      <c r="R1327" s="4"/>
      <c r="S1327" s="4"/>
      <c r="T1327" s="4"/>
      <c r="U1327" s="4"/>
      <c r="V1327" s="4"/>
      <c r="W1327" s="4"/>
      <c r="X1327" s="4"/>
      <c r="Y1327" s="4"/>
      <c r="Z1327" s="4"/>
    </row>
    <row r="1328" spans="1:26" ht="15.75" customHeight="1" x14ac:dyDescent="0.2">
      <c r="A1328" s="1" t="s">
        <v>2645</v>
      </c>
      <c r="B1328" s="1" t="s">
        <v>2646</v>
      </c>
      <c r="C1328" s="5" t="str">
        <f ca="1">IFERROR(__xludf.DUMMYFUNCTION("REGEXEXTRACT($B1328, $E$2)"),"upr")</f>
        <v>upr</v>
      </c>
      <c r="E1328" s="4"/>
      <c r="F1328" s="4"/>
      <c r="G1328" s="4"/>
      <c r="H1328" s="4"/>
      <c r="I1328" s="4"/>
      <c r="J1328" s="4"/>
      <c r="K1328" s="4"/>
      <c r="L1328" s="4"/>
      <c r="M1328" s="4"/>
      <c r="N1328" s="4"/>
      <c r="O1328" s="4"/>
      <c r="P1328" s="4"/>
      <c r="Q1328" s="4"/>
      <c r="R1328" s="4"/>
      <c r="S1328" s="4"/>
      <c r="T1328" s="4"/>
      <c r="U1328" s="4"/>
      <c r="V1328" s="4"/>
      <c r="W1328" s="4"/>
      <c r="X1328" s="4"/>
      <c r="Y1328" s="4"/>
      <c r="Z1328" s="4"/>
    </row>
    <row r="1329" spans="1:26" ht="15.75" customHeight="1" x14ac:dyDescent="0.2">
      <c r="A1329" s="1" t="s">
        <v>2647</v>
      </c>
      <c r="B1329" s="1" t="s">
        <v>2648</v>
      </c>
      <c r="C1329" s="5" t="str">
        <f ca="1">IFERROR(__xludf.DUMMYFUNCTION("REGEXEXTRACT($B1329, $E$2)"),"pugetsound")</f>
        <v>pugetsound</v>
      </c>
      <c r="E1329" s="4"/>
      <c r="F1329" s="4"/>
      <c r="G1329" s="4"/>
      <c r="H1329" s="4"/>
      <c r="I1329" s="4"/>
      <c r="J1329" s="4"/>
      <c r="K1329" s="4"/>
      <c r="L1329" s="4"/>
      <c r="M1329" s="4"/>
      <c r="N1329" s="4"/>
      <c r="O1329" s="4"/>
      <c r="P1329" s="4"/>
      <c r="Q1329" s="4"/>
      <c r="R1329" s="4"/>
      <c r="S1329" s="4"/>
      <c r="T1329" s="4"/>
      <c r="U1329" s="4"/>
      <c r="V1329" s="4"/>
      <c r="W1329" s="4"/>
      <c r="X1329" s="4"/>
      <c r="Y1329" s="4"/>
      <c r="Z1329" s="4"/>
    </row>
    <row r="1330" spans="1:26" ht="15.75" customHeight="1" x14ac:dyDescent="0.2">
      <c r="A1330" s="1" t="s">
        <v>2649</v>
      </c>
      <c r="B1330" s="1" t="s">
        <v>2650</v>
      </c>
      <c r="C1330" s="5" t="str">
        <f ca="1">IFERROR(__xludf.DUMMYFUNCTION("REGEXEXTRACT($B1330, $E$2)"),"redlands")</f>
        <v>redlands</v>
      </c>
      <c r="E1330" s="4"/>
      <c r="F1330" s="4"/>
      <c r="G1330" s="4"/>
      <c r="H1330" s="4"/>
      <c r="I1330" s="4"/>
      <c r="J1330" s="4"/>
      <c r="K1330" s="4"/>
      <c r="L1330" s="4"/>
      <c r="M1330" s="4"/>
      <c r="N1330" s="4"/>
      <c r="O1330" s="4"/>
      <c r="P1330" s="4"/>
      <c r="Q1330" s="4"/>
      <c r="R1330" s="4"/>
      <c r="S1330" s="4"/>
      <c r="T1330" s="4"/>
      <c r="U1330" s="4"/>
      <c r="V1330" s="4"/>
      <c r="W1330" s="4"/>
      <c r="X1330" s="4"/>
      <c r="Y1330" s="4"/>
      <c r="Z1330" s="4"/>
    </row>
    <row r="1331" spans="1:26" ht="15.75" customHeight="1" x14ac:dyDescent="0.2">
      <c r="A1331" s="1" t="s">
        <v>2651</v>
      </c>
      <c r="B1331" s="1" t="s">
        <v>2652</v>
      </c>
      <c r="C1331" s="5" t="str">
        <f ca="1">IFERROR(__xludf.DUMMYFUNCTION("REGEXEXTRACT($B1331, $E$2)"),"uri")</f>
        <v>uri</v>
      </c>
      <c r="E1331" s="4"/>
      <c r="F1331" s="4"/>
      <c r="G1331" s="4"/>
      <c r="H1331" s="4"/>
      <c r="I1331" s="4"/>
      <c r="J1331" s="4"/>
      <c r="K1331" s="4"/>
      <c r="L1331" s="4"/>
      <c r="M1331" s="4"/>
      <c r="N1331" s="4"/>
      <c r="O1331" s="4"/>
      <c r="P1331" s="4"/>
      <c r="Q1331" s="4"/>
      <c r="R1331" s="4"/>
      <c r="S1331" s="4"/>
      <c r="T1331" s="4"/>
      <c r="U1331" s="4"/>
      <c r="V1331" s="4"/>
      <c r="W1331" s="4"/>
      <c r="X1331" s="4"/>
      <c r="Y1331" s="4"/>
      <c r="Z1331" s="4"/>
    </row>
    <row r="1332" spans="1:26" ht="15.75" customHeight="1" x14ac:dyDescent="0.2">
      <c r="A1332" s="1" t="s">
        <v>2653</v>
      </c>
      <c r="B1332" s="1" t="s">
        <v>2654</v>
      </c>
      <c r="C1332" s="5" t="str">
        <f ca="1">IFERROR(__xludf.DUMMYFUNCTION("REGEXEXTRACT($B1332, $E$2)"),"richmond")</f>
        <v>richmond</v>
      </c>
      <c r="E1332" s="4"/>
      <c r="F1332" s="4"/>
      <c r="G1332" s="4"/>
      <c r="H1332" s="4"/>
      <c r="I1332" s="4"/>
      <c r="J1332" s="4"/>
      <c r="K1332" s="4"/>
      <c r="L1332" s="4"/>
      <c r="M1332" s="4"/>
      <c r="N1332" s="4"/>
      <c r="O1332" s="4"/>
      <c r="P1332" s="4"/>
      <c r="Q1332" s="4"/>
      <c r="R1332" s="4"/>
      <c r="S1332" s="4"/>
      <c r="T1332" s="4"/>
      <c r="U1332" s="4"/>
      <c r="V1332" s="4"/>
      <c r="W1332" s="4"/>
      <c r="X1332" s="4"/>
      <c r="Y1332" s="4"/>
      <c r="Z1332" s="4"/>
    </row>
    <row r="1333" spans="1:26" ht="15.75" customHeight="1" x14ac:dyDescent="0.2">
      <c r="A1333" s="1" t="s">
        <v>2655</v>
      </c>
      <c r="B1333" s="1" t="s">
        <v>2656</v>
      </c>
      <c r="C1333" s="5" t="str">
        <f ca="1">IFERROR(__xludf.DUMMYFUNCTION("REGEXEXTRACT($B1333, $E$2)"),"rio")</f>
        <v>rio</v>
      </c>
      <c r="E1333" s="4"/>
      <c r="F1333" s="4"/>
      <c r="G1333" s="4"/>
      <c r="H1333" s="4"/>
      <c r="I1333" s="4"/>
      <c r="J1333" s="4"/>
      <c r="K1333" s="4"/>
      <c r="L1333" s="4"/>
      <c r="M1333" s="4"/>
      <c r="N1333" s="4"/>
      <c r="O1333" s="4"/>
      <c r="P1333" s="4"/>
      <c r="Q1333" s="4"/>
      <c r="R1333" s="4"/>
      <c r="S1333" s="4"/>
      <c r="T1333" s="4"/>
      <c r="U1333" s="4"/>
      <c r="V1333" s="4"/>
      <c r="W1333" s="4"/>
      <c r="X1333" s="4"/>
      <c r="Y1333" s="4"/>
      <c r="Z1333" s="4"/>
    </row>
    <row r="1334" spans="1:26" ht="15.75" customHeight="1" x14ac:dyDescent="0.2">
      <c r="A1334" s="1" t="s">
        <v>2657</v>
      </c>
      <c r="B1334" s="1" t="s">
        <v>2658</v>
      </c>
      <c r="C1334" s="5" t="str">
        <f ca="1">IFERROR(__xludf.DUMMYFUNCTION("REGEXEXTRACT($B1334, $E$2)"),"rochester")</f>
        <v>rochester</v>
      </c>
      <c r="E1334" s="4"/>
      <c r="F1334" s="4"/>
      <c r="G1334" s="4"/>
      <c r="H1334" s="4"/>
      <c r="I1334" s="4"/>
      <c r="J1334" s="4"/>
      <c r="K1334" s="4"/>
      <c r="L1334" s="4"/>
      <c r="M1334" s="4"/>
      <c r="N1334" s="4"/>
      <c r="O1334" s="4"/>
      <c r="P1334" s="4"/>
      <c r="Q1334" s="4"/>
      <c r="R1334" s="4"/>
      <c r="S1334" s="4"/>
      <c r="T1334" s="4"/>
      <c r="U1334" s="4"/>
      <c r="V1334" s="4"/>
      <c r="W1334" s="4"/>
      <c r="X1334" s="4"/>
      <c r="Y1334" s="4"/>
      <c r="Z1334" s="4"/>
    </row>
    <row r="1335" spans="1:26" ht="15.75" customHeight="1" x14ac:dyDescent="0.2">
      <c r="A1335" s="1" t="s">
        <v>2659</v>
      </c>
      <c r="B1335" s="1" t="s">
        <v>2660</v>
      </c>
      <c r="C1335" s="5" t="str">
        <f ca="1">IFERROR(__xludf.DUMMYFUNCTION("REGEXEXTRACT($B1335, $E$2)"),"sf")</f>
        <v>sf</v>
      </c>
      <c r="E1335" s="4"/>
      <c r="F1335" s="4"/>
      <c r="G1335" s="4"/>
      <c r="H1335" s="4"/>
      <c r="I1335" s="4"/>
      <c r="J1335" s="4"/>
      <c r="K1335" s="4"/>
      <c r="L1335" s="4"/>
      <c r="M1335" s="4"/>
      <c r="N1335" s="4"/>
      <c r="O1335" s="4"/>
      <c r="P1335" s="4"/>
      <c r="Q1335" s="4"/>
      <c r="R1335" s="4"/>
      <c r="S1335" s="4"/>
      <c r="T1335" s="4"/>
      <c r="U1335" s="4"/>
      <c r="V1335" s="4"/>
      <c r="W1335" s="4"/>
      <c r="X1335" s="4"/>
      <c r="Y1335" s="4"/>
      <c r="Z1335" s="4"/>
    </row>
    <row r="1336" spans="1:26" ht="15.75" customHeight="1" x14ac:dyDescent="0.2">
      <c r="A1336" s="1" t="s">
        <v>2661</v>
      </c>
      <c r="B1336" s="1" t="s">
        <v>2662</v>
      </c>
      <c r="C1336" s="5" t="str">
        <f ca="1">IFERROR(__xludf.DUMMYFUNCTION("REGEXEXTRACT($B1336, $E$2)"),"usj")</f>
        <v>usj</v>
      </c>
      <c r="E1336" s="4"/>
      <c r="F1336" s="4"/>
      <c r="G1336" s="4"/>
      <c r="H1336" s="4"/>
      <c r="I1336" s="4"/>
      <c r="J1336" s="4"/>
      <c r="K1336" s="4"/>
      <c r="L1336" s="4"/>
      <c r="M1336" s="4"/>
      <c r="N1336" s="4"/>
      <c r="O1336" s="4"/>
      <c r="P1336" s="4"/>
      <c r="Q1336" s="4"/>
      <c r="R1336" s="4"/>
      <c r="S1336" s="4"/>
      <c r="T1336" s="4"/>
      <c r="U1336" s="4"/>
      <c r="V1336" s="4"/>
      <c r="W1336" s="4"/>
      <c r="X1336" s="4"/>
      <c r="Y1336" s="4"/>
      <c r="Z1336" s="4"/>
    </row>
    <row r="1337" spans="1:26" ht="15.75" customHeight="1" x14ac:dyDescent="0.2">
      <c r="A1337" s="1" t="s">
        <v>2663</v>
      </c>
      <c r="B1337" s="1" t="s">
        <v>2664</v>
      </c>
      <c r="C1337" s="5" t="str">
        <f ca="1">IFERROR(__xludf.DUMMYFUNCTION("REGEXEXTRACT($B1337, $E$2)"),"sandiego")</f>
        <v>sandiego</v>
      </c>
      <c r="E1337" s="4"/>
      <c r="F1337" s="4"/>
      <c r="G1337" s="4"/>
      <c r="H1337" s="4"/>
      <c r="I1337" s="4"/>
      <c r="J1337" s="4"/>
      <c r="K1337" s="4"/>
      <c r="L1337" s="4"/>
      <c r="M1337" s="4"/>
      <c r="N1337" s="4"/>
      <c r="O1337" s="4"/>
      <c r="P1337" s="4"/>
      <c r="Q1337" s="4"/>
      <c r="R1337" s="4"/>
      <c r="S1337" s="4"/>
      <c r="T1337" s="4"/>
      <c r="U1337" s="4"/>
      <c r="V1337" s="4"/>
      <c r="W1337" s="4"/>
      <c r="X1337" s="4"/>
      <c r="Y1337" s="4"/>
      <c r="Z1337" s="4"/>
    </row>
    <row r="1338" spans="1:26" ht="15.75" customHeight="1" x14ac:dyDescent="0.2">
      <c r="A1338" s="1" t="s">
        <v>2665</v>
      </c>
      <c r="B1338" s="1" t="s">
        <v>2666</v>
      </c>
      <c r="C1338" s="5" t="str">
        <f ca="1">IFERROR(__xludf.DUMMYFUNCTION("REGEXEXTRACT($B1338, $E$2)"),"usfca")</f>
        <v>usfca</v>
      </c>
      <c r="E1338" s="4"/>
      <c r="F1338" s="4"/>
      <c r="G1338" s="4"/>
      <c r="H1338" s="4"/>
      <c r="I1338" s="4"/>
      <c r="J1338" s="4"/>
      <c r="K1338" s="4"/>
      <c r="L1338" s="4"/>
      <c r="M1338" s="4"/>
      <c r="N1338" s="4"/>
      <c r="O1338" s="4"/>
      <c r="P1338" s="4"/>
      <c r="Q1338" s="4"/>
      <c r="R1338" s="4"/>
      <c r="S1338" s="4"/>
      <c r="T1338" s="4"/>
      <c r="U1338" s="4"/>
      <c r="V1338" s="4"/>
      <c r="W1338" s="4"/>
      <c r="X1338" s="4"/>
      <c r="Y1338" s="4"/>
      <c r="Z1338" s="4"/>
    </row>
    <row r="1339" spans="1:26" ht="15.75" customHeight="1" x14ac:dyDescent="0.2">
      <c r="A1339" s="1" t="s">
        <v>2667</v>
      </c>
      <c r="B1339" s="1" t="s">
        <v>2668</v>
      </c>
      <c r="C1339" s="5" t="str">
        <f ca="1">IFERROR(__xludf.DUMMYFUNCTION("REGEXEXTRACT($B1339, $E$2)"),"usao")</f>
        <v>usao</v>
      </c>
      <c r="E1339" s="4"/>
      <c r="F1339" s="4"/>
      <c r="G1339" s="4"/>
      <c r="H1339" s="4"/>
      <c r="I1339" s="4"/>
      <c r="J1339" s="4"/>
      <c r="K1339" s="4"/>
      <c r="L1339" s="4"/>
      <c r="M1339" s="4"/>
      <c r="N1339" s="4"/>
      <c r="O1339" s="4"/>
      <c r="P1339" s="4"/>
      <c r="Q1339" s="4"/>
      <c r="R1339" s="4"/>
      <c r="S1339" s="4"/>
      <c r="T1339" s="4"/>
      <c r="U1339" s="4"/>
      <c r="V1339" s="4"/>
      <c r="W1339" s="4"/>
      <c r="X1339" s="4"/>
      <c r="Y1339" s="4"/>
      <c r="Z1339" s="4"/>
    </row>
    <row r="1340" spans="1:26" ht="15.75" customHeight="1" x14ac:dyDescent="0.2">
      <c r="A1340" s="1" t="s">
        <v>2669</v>
      </c>
      <c r="B1340" s="1" t="s">
        <v>2670</v>
      </c>
      <c r="C1340" s="5" t="str">
        <f ca="1">IFERROR(__xludf.DUMMYFUNCTION("REGEXEXTRACT($B1340, $E$2)"),"usciences")</f>
        <v>usciences</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ht="15.75" customHeight="1" x14ac:dyDescent="0.2">
      <c r="A1341" s="1" t="s">
        <v>2671</v>
      </c>
      <c r="B1341" s="1" t="s">
        <v>2672</v>
      </c>
      <c r="C1341" s="5" t="str">
        <f ca="1">IFERROR(__xludf.DUMMYFUNCTION("REGEXEXTRACT($B1341, $E$2)"),"scranton")</f>
        <v>scranton</v>
      </c>
      <c r="E1341" s="4"/>
      <c r="F1341" s="4"/>
      <c r="G1341" s="4"/>
      <c r="H1341" s="4"/>
      <c r="I1341" s="4"/>
      <c r="J1341" s="4"/>
      <c r="K1341" s="4"/>
      <c r="L1341" s="4"/>
      <c r="M1341" s="4"/>
      <c r="N1341" s="4"/>
      <c r="O1341" s="4"/>
      <c r="P1341" s="4"/>
      <c r="Q1341" s="4"/>
      <c r="R1341" s="4"/>
      <c r="S1341" s="4"/>
      <c r="T1341" s="4"/>
      <c r="U1341" s="4"/>
      <c r="V1341" s="4"/>
      <c r="W1341" s="4"/>
      <c r="X1341" s="4"/>
      <c r="Y1341" s="4"/>
      <c r="Z1341" s="4"/>
    </row>
    <row r="1342" spans="1:26" ht="15.75" customHeight="1" x14ac:dyDescent="0.2">
      <c r="A1342" s="1" t="s">
        <v>2673</v>
      </c>
      <c r="B1342" s="1" t="s">
        <v>2674</v>
      </c>
      <c r="C1342" s="5" t="str">
        <f ca="1">IFERROR(__xludf.DUMMYFUNCTION("REGEXEXTRACT($B1342, $E$2)"),"usiouxfalls")</f>
        <v>usiouxfalls</v>
      </c>
      <c r="E1342" s="4"/>
      <c r="F1342" s="4"/>
      <c r="G1342" s="4"/>
      <c r="H1342" s="4"/>
      <c r="I1342" s="4"/>
      <c r="J1342" s="4"/>
      <c r="K1342" s="4"/>
      <c r="L1342" s="4"/>
      <c r="M1342" s="4"/>
      <c r="N1342" s="4"/>
      <c r="O1342" s="4"/>
      <c r="P1342" s="4"/>
      <c r="Q1342" s="4"/>
      <c r="R1342" s="4"/>
      <c r="S1342" s="4"/>
      <c r="T1342" s="4"/>
      <c r="U1342" s="4"/>
      <c r="V1342" s="4"/>
      <c r="W1342" s="4"/>
      <c r="X1342" s="4"/>
      <c r="Y1342" s="4"/>
      <c r="Z1342" s="4"/>
    </row>
    <row r="1343" spans="1:26" ht="15.75" customHeight="1" x14ac:dyDescent="0.2">
      <c r="A1343" s="1" t="s">
        <v>2675</v>
      </c>
      <c r="B1343" s="1" t="s">
        <v>2676</v>
      </c>
      <c r="C1343" s="5" t="str">
        <f ca="1">IFERROR(__xludf.DUMMYFUNCTION("REGEXEXTRACT($B1343, $E$2)"),"southalabama")</f>
        <v>southalabama</v>
      </c>
      <c r="E1343" s="4"/>
      <c r="F1343" s="4"/>
      <c r="G1343" s="4"/>
      <c r="H1343" s="4"/>
      <c r="I1343" s="4"/>
      <c r="J1343" s="4"/>
      <c r="K1343" s="4"/>
      <c r="L1343" s="4"/>
      <c r="M1343" s="4"/>
      <c r="N1343" s="4"/>
      <c r="O1343" s="4"/>
      <c r="P1343" s="4"/>
      <c r="Q1343" s="4"/>
      <c r="R1343" s="4"/>
      <c r="S1343" s="4"/>
      <c r="T1343" s="4"/>
      <c r="U1343" s="4"/>
      <c r="V1343" s="4"/>
      <c r="W1343" s="4"/>
      <c r="X1343" s="4"/>
      <c r="Y1343" s="4"/>
      <c r="Z1343" s="4"/>
    </row>
    <row r="1344" spans="1:26" ht="15.75" customHeight="1" x14ac:dyDescent="0.2">
      <c r="A1344" s="1" t="s">
        <v>2677</v>
      </c>
      <c r="B1344" s="1" t="s">
        <v>2678</v>
      </c>
      <c r="C1344" s="5" t="str">
        <f ca="1">IFERROR(__xludf.DUMMYFUNCTION("REGEXEXTRACT($B1344, $E$2)"),"usca")</f>
        <v>usca</v>
      </c>
      <c r="E1344" s="4"/>
      <c r="F1344" s="4"/>
      <c r="G1344" s="4"/>
      <c r="H1344" s="4"/>
      <c r="I1344" s="4"/>
      <c r="J1344" s="4"/>
      <c r="K1344" s="4"/>
      <c r="L1344" s="4"/>
      <c r="M1344" s="4"/>
      <c r="N1344" s="4"/>
      <c r="O1344" s="4"/>
      <c r="P1344" s="4"/>
      <c r="Q1344" s="4"/>
      <c r="R1344" s="4"/>
      <c r="S1344" s="4"/>
      <c r="T1344" s="4"/>
      <c r="U1344" s="4"/>
      <c r="V1344" s="4"/>
      <c r="W1344" s="4"/>
      <c r="X1344" s="4"/>
      <c r="Y1344" s="4"/>
      <c r="Z1344" s="4"/>
    </row>
    <row r="1345" spans="1:26" ht="15.75" customHeight="1" x14ac:dyDescent="0.2">
      <c r="A1345" s="1" t="s">
        <v>2679</v>
      </c>
      <c r="B1345" s="1" t="s">
        <v>2680</v>
      </c>
      <c r="C1345" s="5" t="str">
        <f ca="1">IFERROR(__xludf.DUMMYFUNCTION("REGEXEXTRACT($B1345, $E$2)"),"uscb")</f>
        <v>uscb</v>
      </c>
      <c r="E1345" s="4"/>
      <c r="F1345" s="4"/>
      <c r="G1345" s="4"/>
      <c r="H1345" s="4"/>
      <c r="I1345" s="4"/>
      <c r="J1345" s="4"/>
      <c r="K1345" s="4"/>
      <c r="L1345" s="4"/>
      <c r="M1345" s="4"/>
      <c r="N1345" s="4"/>
      <c r="O1345" s="4"/>
      <c r="P1345" s="4"/>
      <c r="Q1345" s="4"/>
      <c r="R1345" s="4"/>
      <c r="S1345" s="4"/>
      <c r="T1345" s="4"/>
      <c r="U1345" s="4"/>
      <c r="V1345" s="4"/>
      <c r="W1345" s="4"/>
      <c r="X1345" s="4"/>
      <c r="Y1345" s="4"/>
      <c r="Z1345" s="4"/>
    </row>
    <row r="1346" spans="1:26" ht="15.75" customHeight="1" x14ac:dyDescent="0.2">
      <c r="A1346" s="1" t="s">
        <v>2681</v>
      </c>
      <c r="B1346" s="1" t="s">
        <v>2682</v>
      </c>
      <c r="C1346" s="5" t="str">
        <f ca="1">IFERROR(__xludf.DUMMYFUNCTION("REGEXEXTRACT($B1346, $E$2)"),"sc")</f>
        <v>sc</v>
      </c>
      <c r="E1346" s="4"/>
      <c r="F1346" s="4"/>
      <c r="G1346" s="4"/>
      <c r="H1346" s="4"/>
      <c r="I1346" s="4"/>
      <c r="J1346" s="4"/>
      <c r="K1346" s="4"/>
      <c r="L1346" s="4"/>
      <c r="M1346" s="4"/>
      <c r="N1346" s="4"/>
      <c r="O1346" s="4"/>
      <c r="P1346" s="4"/>
      <c r="Q1346" s="4"/>
      <c r="R1346" s="4"/>
      <c r="S1346" s="4"/>
      <c r="T1346" s="4"/>
      <c r="U1346" s="4"/>
      <c r="V1346" s="4"/>
      <c r="W1346" s="4"/>
      <c r="X1346" s="4"/>
      <c r="Y1346" s="4"/>
      <c r="Z1346" s="4"/>
    </row>
    <row r="1347" spans="1:26" ht="15.75" customHeight="1" x14ac:dyDescent="0.2">
      <c r="A1347" s="1" t="s">
        <v>2683</v>
      </c>
      <c r="B1347" s="1" t="s">
        <v>2684</v>
      </c>
      <c r="C1347" s="5" t="str">
        <f ca="1">IFERROR(__xludf.DUMMYFUNCTION("REGEXEXTRACT($B1347, $E$2)"),"uscupstate")</f>
        <v>uscupstate</v>
      </c>
      <c r="E1347" s="4"/>
      <c r="F1347" s="4"/>
      <c r="G1347" s="4"/>
      <c r="H1347" s="4"/>
      <c r="I1347" s="4"/>
      <c r="J1347" s="4"/>
      <c r="K1347" s="4"/>
      <c r="L1347" s="4"/>
      <c r="M1347" s="4"/>
      <c r="N1347" s="4"/>
      <c r="O1347" s="4"/>
      <c r="P1347" s="4"/>
      <c r="Q1347" s="4"/>
      <c r="R1347" s="4"/>
      <c r="S1347" s="4"/>
      <c r="T1347" s="4"/>
      <c r="U1347" s="4"/>
      <c r="V1347" s="4"/>
      <c r="W1347" s="4"/>
      <c r="X1347" s="4"/>
      <c r="Y1347" s="4"/>
      <c r="Z1347" s="4"/>
    </row>
    <row r="1348" spans="1:26" ht="15.75" customHeight="1" x14ac:dyDescent="0.2">
      <c r="A1348" s="1" t="s">
        <v>2685</v>
      </c>
      <c r="B1348" s="1" t="s">
        <v>2686</v>
      </c>
      <c r="C1348" s="5" t="str">
        <f ca="1">IFERROR(__xludf.DUMMYFUNCTION("REGEXEXTRACT($B1348, $E$2)"),"usd")</f>
        <v>usd</v>
      </c>
      <c r="E1348" s="4"/>
      <c r="F1348" s="4"/>
      <c r="G1348" s="4"/>
      <c r="H1348" s="4"/>
      <c r="I1348" s="4"/>
      <c r="J1348" s="4"/>
      <c r="K1348" s="4"/>
      <c r="L1348" s="4"/>
      <c r="M1348" s="4"/>
      <c r="N1348" s="4"/>
      <c r="O1348" s="4"/>
      <c r="P1348" s="4"/>
      <c r="Q1348" s="4"/>
      <c r="R1348" s="4"/>
      <c r="S1348" s="4"/>
      <c r="T1348" s="4"/>
      <c r="U1348" s="4"/>
      <c r="V1348" s="4"/>
      <c r="W1348" s="4"/>
      <c r="X1348" s="4"/>
      <c r="Y1348" s="4"/>
      <c r="Z1348" s="4"/>
    </row>
    <row r="1349" spans="1:26" ht="15.75" customHeight="1" x14ac:dyDescent="0.2">
      <c r="A1349" s="1" t="s">
        <v>2687</v>
      </c>
      <c r="B1349" s="1" t="s">
        <v>2688</v>
      </c>
      <c r="C1349" s="5" t="str">
        <f ca="1">IFERROR(__xludf.DUMMYFUNCTION("REGEXEXTRACT($B1349, $E$2)"),"usf")</f>
        <v>usf</v>
      </c>
      <c r="E1349" s="4"/>
      <c r="F1349" s="4"/>
      <c r="G1349" s="4"/>
      <c r="H1349" s="4"/>
      <c r="I1349" s="4"/>
      <c r="J1349" s="4"/>
      <c r="K1349" s="4"/>
      <c r="L1349" s="4"/>
      <c r="M1349" s="4"/>
      <c r="N1349" s="4"/>
      <c r="O1349" s="4"/>
      <c r="P1349" s="4"/>
      <c r="Q1349" s="4"/>
      <c r="R1349" s="4"/>
      <c r="S1349" s="4"/>
      <c r="T1349" s="4"/>
      <c r="U1349" s="4"/>
      <c r="V1349" s="4"/>
      <c r="W1349" s="4"/>
      <c r="X1349" s="4"/>
      <c r="Y1349" s="4"/>
      <c r="Z1349" s="4"/>
    </row>
    <row r="1350" spans="1:26" ht="15.75" customHeight="1" x14ac:dyDescent="0.2">
      <c r="A1350" s="1" t="s">
        <v>2689</v>
      </c>
      <c r="B1350" s="1" t="s">
        <v>2690</v>
      </c>
      <c r="C1350" s="5" t="str">
        <f ca="1">IFERROR(__xludf.DUMMYFUNCTION("REGEXEXTRACT($B1350, $E$2)"),"usi")</f>
        <v>usi</v>
      </c>
      <c r="E1350" s="4"/>
      <c r="F1350" s="4"/>
      <c r="G1350" s="4"/>
      <c r="H1350" s="4"/>
      <c r="I1350" s="4"/>
      <c r="J1350" s="4"/>
      <c r="K1350" s="4"/>
      <c r="L1350" s="4"/>
      <c r="M1350" s="4"/>
      <c r="N1350" s="4"/>
      <c r="O1350" s="4"/>
      <c r="P1350" s="4"/>
      <c r="Q1350" s="4"/>
      <c r="R1350" s="4"/>
      <c r="S1350" s="4"/>
      <c r="T1350" s="4"/>
      <c r="U1350" s="4"/>
      <c r="V1350" s="4"/>
      <c r="W1350" s="4"/>
      <c r="X1350" s="4"/>
      <c r="Y1350" s="4"/>
      <c r="Z1350" s="4"/>
    </row>
    <row r="1351" spans="1:26" ht="15.75" customHeight="1" x14ac:dyDescent="0.2">
      <c r="A1351" s="1" t="s">
        <v>2691</v>
      </c>
      <c r="B1351" s="1" t="s">
        <v>2692</v>
      </c>
      <c r="C1351" s="5" t="str">
        <f ca="1">IFERROR(__xludf.DUMMYFUNCTION("REGEXEXTRACT($B1351, $E$2)"),"usm")</f>
        <v>usm</v>
      </c>
      <c r="E1351" s="4"/>
      <c r="F1351" s="4"/>
      <c r="G1351" s="4"/>
      <c r="H1351" s="4"/>
      <c r="I1351" s="4"/>
      <c r="J1351" s="4"/>
      <c r="K1351" s="4"/>
      <c r="L1351" s="4"/>
      <c r="M1351" s="4"/>
      <c r="N1351" s="4"/>
      <c r="O1351" s="4"/>
      <c r="P1351" s="4"/>
      <c r="Q1351" s="4"/>
      <c r="R1351" s="4"/>
      <c r="S1351" s="4"/>
      <c r="T1351" s="4"/>
      <c r="U1351" s="4"/>
      <c r="V1351" s="4"/>
      <c r="W1351" s="4"/>
      <c r="X1351" s="4"/>
      <c r="Y1351" s="4"/>
      <c r="Z1351" s="4"/>
    </row>
    <row r="1352" spans="1:26" ht="15.75" customHeight="1" x14ac:dyDescent="0.2">
      <c r="A1352" s="1" t="s">
        <v>2693</v>
      </c>
      <c r="B1352" s="1" t="s">
        <v>2694</v>
      </c>
      <c r="C1352" s="5" t="str">
        <f ca="1">IFERROR(__xludf.DUMMYFUNCTION("REGEXEXTRACT($B1352, $E$2)"),"stfrancis")</f>
        <v>stfrancis</v>
      </c>
      <c r="E1352" s="4"/>
      <c r="F1352" s="4"/>
      <c r="G1352" s="4"/>
      <c r="H1352" s="4"/>
      <c r="I1352" s="4"/>
      <c r="J1352" s="4"/>
      <c r="K1352" s="4"/>
      <c r="L1352" s="4"/>
      <c r="M1352" s="4"/>
      <c r="N1352" s="4"/>
      <c r="O1352" s="4"/>
      <c r="P1352" s="4"/>
      <c r="Q1352" s="4"/>
      <c r="R1352" s="4"/>
      <c r="S1352" s="4"/>
      <c r="T1352" s="4"/>
      <c r="U1352" s="4"/>
      <c r="V1352" s="4"/>
      <c r="W1352" s="4"/>
      <c r="X1352" s="4"/>
      <c r="Y1352" s="4"/>
      <c r="Z1352" s="4"/>
    </row>
    <row r="1353" spans="1:26" ht="15.75" customHeight="1" x14ac:dyDescent="0.2">
      <c r="A1353" s="1" t="s">
        <v>2695</v>
      </c>
      <c r="B1353" s="1" t="s">
        <v>2696</v>
      </c>
      <c r="C1353" s="5" t="str">
        <f ca="1">IFERROR(__xludf.DUMMYFUNCTION("REGEXEXTRACT($B1353, $E$2)"),"stmary")</f>
        <v>stmary</v>
      </c>
      <c r="E1353" s="4"/>
      <c r="F1353" s="4"/>
      <c r="G1353" s="4"/>
      <c r="H1353" s="4"/>
      <c r="I1353" s="4"/>
      <c r="J1353" s="4"/>
      <c r="K1353" s="4"/>
      <c r="L1353" s="4"/>
      <c r="M1353" s="4"/>
      <c r="N1353" s="4"/>
      <c r="O1353" s="4"/>
      <c r="P1353" s="4"/>
      <c r="Q1353" s="4"/>
      <c r="R1353" s="4"/>
      <c r="S1353" s="4"/>
      <c r="T1353" s="4"/>
      <c r="U1353" s="4"/>
      <c r="V1353" s="4"/>
      <c r="W1353" s="4"/>
      <c r="X1353" s="4"/>
      <c r="Y1353" s="4"/>
      <c r="Z1353" s="4"/>
    </row>
    <row r="1354" spans="1:26" ht="15.75" customHeight="1" x14ac:dyDescent="0.2">
      <c r="A1354" s="1" t="s">
        <v>2697</v>
      </c>
      <c r="B1354" s="1" t="s">
        <v>2698</v>
      </c>
      <c r="C1354" s="5" t="str">
        <f ca="1">IFERROR(__xludf.DUMMYFUNCTION("REGEXEXTRACT($B1354, $E$2)"),"stthom")</f>
        <v>stthom</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ht="15.75" customHeight="1" x14ac:dyDescent="0.2">
      <c r="A1355" s="1" t="s">
        <v>2699</v>
      </c>
      <c r="B1355" s="1" t="s">
        <v>2700</v>
      </c>
      <c r="C1355" s="5" t="str">
        <f ca="1">IFERROR(__xludf.DUMMYFUNCTION("REGEXEXTRACT($B1355, $E$2)"),"stthomas")</f>
        <v>stthomas</v>
      </c>
      <c r="E1355" s="4"/>
      <c r="F1355" s="4"/>
      <c r="G1355" s="4"/>
      <c r="H1355" s="4"/>
      <c r="I1355" s="4"/>
      <c r="J1355" s="4"/>
      <c r="K1355" s="4"/>
      <c r="L1355" s="4"/>
      <c r="M1355" s="4"/>
      <c r="N1355" s="4"/>
      <c r="O1355" s="4"/>
      <c r="P1355" s="4"/>
      <c r="Q1355" s="4"/>
      <c r="R1355" s="4"/>
      <c r="S1355" s="4"/>
      <c r="T1355" s="4"/>
      <c r="U1355" s="4"/>
      <c r="V1355" s="4"/>
      <c r="W1355" s="4"/>
      <c r="X1355" s="4"/>
      <c r="Y1355" s="4"/>
      <c r="Z1355" s="4"/>
    </row>
    <row r="1356" spans="1:26" ht="15.75" customHeight="1" x14ac:dyDescent="0.2">
      <c r="A1356" s="1" t="s">
        <v>2701</v>
      </c>
      <c r="B1356" s="1" t="s">
        <v>2702</v>
      </c>
      <c r="C1356" s="5" t="str">
        <f ca="1">IFERROR(__xludf.DUMMYFUNCTION("REGEXEXTRACT($B1356, $E$2)"),"ut")</f>
        <v>ut</v>
      </c>
      <c r="E1356" s="4"/>
      <c r="F1356" s="4"/>
      <c r="G1356" s="4"/>
      <c r="H1356" s="4"/>
      <c r="I1356" s="4"/>
      <c r="J1356" s="4"/>
      <c r="K1356" s="4"/>
      <c r="L1356" s="4"/>
      <c r="M1356" s="4"/>
      <c r="N1356" s="4"/>
      <c r="O1356" s="4"/>
      <c r="P1356" s="4"/>
      <c r="Q1356" s="4"/>
      <c r="R1356" s="4"/>
      <c r="S1356" s="4"/>
      <c r="T1356" s="4"/>
      <c r="U1356" s="4"/>
      <c r="V1356" s="4"/>
      <c r="W1356" s="4"/>
      <c r="X1356" s="4"/>
      <c r="Y1356" s="4"/>
      <c r="Z1356" s="4"/>
    </row>
    <row r="1357" spans="1:26" ht="15.75" customHeight="1" x14ac:dyDescent="0.2">
      <c r="A1357" s="1" t="s">
        <v>2703</v>
      </c>
      <c r="B1357" s="1" t="s">
        <v>2704</v>
      </c>
      <c r="C1357" s="5" t="str">
        <f ca="1">IFERROR(__xludf.DUMMYFUNCTION("REGEXEXTRACT($B1357, $E$2)"),"utc")</f>
        <v>utc</v>
      </c>
      <c r="E1357" s="4"/>
      <c r="F1357" s="4"/>
      <c r="G1357" s="4"/>
      <c r="H1357" s="4"/>
      <c r="I1357" s="4"/>
      <c r="J1357" s="4"/>
      <c r="K1357" s="4"/>
      <c r="L1357" s="4"/>
      <c r="M1357" s="4"/>
      <c r="N1357" s="4"/>
      <c r="O1357" s="4"/>
      <c r="P1357" s="4"/>
      <c r="Q1357" s="4"/>
      <c r="R1357" s="4"/>
      <c r="S1357" s="4"/>
      <c r="T1357" s="4"/>
      <c r="U1357" s="4"/>
      <c r="V1357" s="4"/>
      <c r="W1357" s="4"/>
      <c r="X1357" s="4"/>
      <c r="Y1357" s="4"/>
      <c r="Z1357" s="4"/>
    </row>
    <row r="1358" spans="1:26" ht="15.75" customHeight="1" x14ac:dyDescent="0.2">
      <c r="A1358" s="1" t="s">
        <v>2705</v>
      </c>
      <c r="B1358" s="1" t="s">
        <v>2706</v>
      </c>
      <c r="C1358" s="5" t="str">
        <f ca="1">IFERROR(__xludf.DUMMYFUNCTION("REGEXEXTRACT($B1358, $E$2)"),"utm")</f>
        <v>utm</v>
      </c>
      <c r="E1358" s="4"/>
      <c r="F1358" s="4"/>
      <c r="G1358" s="4"/>
      <c r="H1358" s="4"/>
      <c r="I1358" s="4"/>
      <c r="J1358" s="4"/>
      <c r="K1358" s="4"/>
      <c r="L1358" s="4"/>
      <c r="M1358" s="4"/>
      <c r="N1358" s="4"/>
      <c r="O1358" s="4"/>
      <c r="P1358" s="4"/>
      <c r="Q1358" s="4"/>
      <c r="R1358" s="4"/>
      <c r="S1358" s="4"/>
      <c r="T1358" s="4"/>
      <c r="U1358" s="4"/>
      <c r="V1358" s="4"/>
      <c r="W1358" s="4"/>
      <c r="X1358" s="4"/>
      <c r="Y1358" s="4"/>
      <c r="Z1358" s="4"/>
    </row>
    <row r="1359" spans="1:26" ht="15.75" customHeight="1" x14ac:dyDescent="0.2">
      <c r="A1359" s="1" t="s">
        <v>2707</v>
      </c>
      <c r="B1359" s="1" t="s">
        <v>2708</v>
      </c>
      <c r="C1359" s="5" t="str">
        <f ca="1">IFERROR(__xludf.DUMMYFUNCTION("REGEXEXTRACT($B1359, $E$2)"),"utk")</f>
        <v>utk</v>
      </c>
      <c r="E1359" s="4"/>
      <c r="F1359" s="4"/>
      <c r="G1359" s="4"/>
      <c r="H1359" s="4"/>
      <c r="I1359" s="4"/>
      <c r="J1359" s="4"/>
      <c r="K1359" s="4"/>
      <c r="L1359" s="4"/>
      <c r="M1359" s="4"/>
      <c r="N1359" s="4"/>
      <c r="O1359" s="4"/>
      <c r="P1359" s="4"/>
      <c r="Q1359" s="4"/>
      <c r="R1359" s="4"/>
      <c r="S1359" s="4"/>
      <c r="T1359" s="4"/>
      <c r="U1359" s="4"/>
      <c r="V1359" s="4"/>
      <c r="W1359" s="4"/>
      <c r="X1359" s="4"/>
      <c r="Y1359" s="4"/>
      <c r="Z1359" s="4"/>
    </row>
    <row r="1360" spans="1:26" ht="15.75" customHeight="1" x14ac:dyDescent="0.2">
      <c r="A1360" s="1" t="s">
        <v>2709</v>
      </c>
      <c r="B1360" s="1" t="s">
        <v>2710</v>
      </c>
      <c r="C1360" s="5" t="str">
        <f ca="1">IFERROR(__xludf.DUMMYFUNCTION("REGEXEXTRACT($B1360, $E$2)"),"uta")</f>
        <v>uta</v>
      </c>
      <c r="E1360" s="4"/>
      <c r="F1360" s="4"/>
      <c r="G1360" s="4"/>
      <c r="H1360" s="4"/>
      <c r="I1360" s="4"/>
      <c r="J1360" s="4"/>
      <c r="K1360" s="4"/>
      <c r="L1360" s="4"/>
      <c r="M1360" s="4"/>
      <c r="N1360" s="4"/>
      <c r="O1360" s="4"/>
      <c r="P1360" s="4"/>
      <c r="Q1360" s="4"/>
      <c r="R1360" s="4"/>
      <c r="S1360" s="4"/>
      <c r="T1360" s="4"/>
      <c r="U1360" s="4"/>
      <c r="V1360" s="4"/>
      <c r="W1360" s="4"/>
      <c r="X1360" s="4"/>
      <c r="Y1360" s="4"/>
      <c r="Z1360" s="4"/>
    </row>
    <row r="1361" spans="1:26" ht="15.75" customHeight="1" x14ac:dyDescent="0.2">
      <c r="A1361" s="1" t="s">
        <v>2711</v>
      </c>
      <c r="B1361" s="1" t="s">
        <v>2712</v>
      </c>
      <c r="C1361" s="5" t="str">
        <f ca="1">IFERROR(__xludf.DUMMYFUNCTION("REGEXEXTRACT($B1361, $E$2)"),"utdallas")</f>
        <v>utdallas</v>
      </c>
      <c r="E1361" s="4"/>
      <c r="F1361" s="4"/>
      <c r="G1361" s="4"/>
      <c r="H1361" s="4"/>
      <c r="I1361" s="4"/>
      <c r="J1361" s="4"/>
      <c r="K1361" s="4"/>
      <c r="L1361" s="4"/>
      <c r="M1361" s="4"/>
      <c r="N1361" s="4"/>
      <c r="O1361" s="4"/>
      <c r="P1361" s="4"/>
      <c r="Q1361" s="4"/>
      <c r="R1361" s="4"/>
      <c r="S1361" s="4"/>
      <c r="T1361" s="4"/>
      <c r="U1361" s="4"/>
      <c r="V1361" s="4"/>
      <c r="W1361" s="4"/>
      <c r="X1361" s="4"/>
      <c r="Y1361" s="4"/>
      <c r="Z1361" s="4"/>
    </row>
    <row r="1362" spans="1:26" ht="15.75" customHeight="1" x14ac:dyDescent="0.2">
      <c r="A1362" s="1" t="s">
        <v>2713</v>
      </c>
      <c r="B1362" s="1" t="s">
        <v>2714</v>
      </c>
      <c r="C1362" s="5" t="str">
        <f ca="1">IFERROR(__xludf.DUMMYFUNCTION("REGEXEXTRACT($B1362, $E$2)"),"utep")</f>
        <v>utep</v>
      </c>
      <c r="E1362" s="4"/>
      <c r="F1362" s="4"/>
      <c r="G1362" s="4"/>
      <c r="H1362" s="4"/>
      <c r="I1362" s="4"/>
      <c r="J1362" s="4"/>
      <c r="K1362" s="4"/>
      <c r="L1362" s="4"/>
      <c r="M1362" s="4"/>
      <c r="N1362" s="4"/>
      <c r="O1362" s="4"/>
      <c r="P1362" s="4"/>
      <c r="Q1362" s="4"/>
      <c r="R1362" s="4"/>
      <c r="S1362" s="4"/>
      <c r="T1362" s="4"/>
      <c r="U1362" s="4"/>
      <c r="V1362" s="4"/>
      <c r="W1362" s="4"/>
      <c r="X1362" s="4"/>
      <c r="Y1362" s="4"/>
      <c r="Z1362" s="4"/>
    </row>
    <row r="1363" spans="1:26" ht="15.75" customHeight="1" x14ac:dyDescent="0.2">
      <c r="A1363" s="1" t="s">
        <v>2715</v>
      </c>
      <c r="B1363" s="1" t="s">
        <v>2716</v>
      </c>
      <c r="C1363" s="5" t="str">
        <f ca="1">IFERROR(__xludf.DUMMYFUNCTION("REGEXEXTRACT($B1363, $E$2)"),"utsa")</f>
        <v>utsa</v>
      </c>
      <c r="E1363" s="4"/>
      <c r="F1363" s="4"/>
      <c r="G1363" s="4"/>
      <c r="H1363" s="4"/>
      <c r="I1363" s="4"/>
      <c r="J1363" s="4"/>
      <c r="K1363" s="4"/>
      <c r="L1363" s="4"/>
      <c r="M1363" s="4"/>
      <c r="N1363" s="4"/>
      <c r="O1363" s="4"/>
      <c r="P1363" s="4"/>
      <c r="Q1363" s="4"/>
      <c r="R1363" s="4"/>
      <c r="S1363" s="4"/>
      <c r="T1363" s="4"/>
      <c r="U1363" s="4"/>
      <c r="V1363" s="4"/>
      <c r="W1363" s="4"/>
      <c r="X1363" s="4"/>
      <c r="Y1363" s="4"/>
      <c r="Z1363" s="4"/>
    </row>
    <row r="1364" spans="1:26" ht="15.75" customHeight="1" x14ac:dyDescent="0.2">
      <c r="A1364" s="1" t="s">
        <v>2717</v>
      </c>
      <c r="B1364" s="1" t="s">
        <v>2718</v>
      </c>
      <c r="C1364" s="5" t="str">
        <f ca="1">IFERROR(__xludf.DUMMYFUNCTION("REGEXEXTRACT($B1364, $E$2)"),"uttyler")</f>
        <v>uttyler</v>
      </c>
      <c r="E1364" s="4"/>
      <c r="F1364" s="4"/>
      <c r="G1364" s="4"/>
      <c r="H1364" s="4"/>
      <c r="I1364" s="4"/>
      <c r="J1364" s="4"/>
      <c r="K1364" s="4"/>
      <c r="L1364" s="4"/>
      <c r="M1364" s="4"/>
      <c r="N1364" s="4"/>
      <c r="O1364" s="4"/>
      <c r="P1364" s="4"/>
      <c r="Q1364" s="4"/>
      <c r="R1364" s="4"/>
      <c r="S1364" s="4"/>
      <c r="T1364" s="4"/>
      <c r="U1364" s="4"/>
      <c r="V1364" s="4"/>
      <c r="W1364" s="4"/>
      <c r="X1364" s="4"/>
      <c r="Y1364" s="4"/>
      <c r="Z1364" s="4"/>
    </row>
    <row r="1365" spans="1:26" ht="15.75" customHeight="1" x14ac:dyDescent="0.2">
      <c r="A1365" s="1" t="s">
        <v>2719</v>
      </c>
      <c r="B1365" s="1" t="s">
        <v>2720</v>
      </c>
      <c r="C1365" s="5" t="str">
        <f ca="1">IFERROR(__xludf.DUMMYFUNCTION("REGEXEXTRACT($B1365, $E$2)"),"ucumberlands")</f>
        <v>ucumberlands</v>
      </c>
      <c r="E1365" s="4"/>
      <c r="F1365" s="4"/>
      <c r="G1365" s="4"/>
      <c r="H1365" s="4"/>
      <c r="I1365" s="4"/>
      <c r="J1365" s="4"/>
      <c r="K1365" s="4"/>
      <c r="L1365" s="4"/>
      <c r="M1365" s="4"/>
      <c r="N1365" s="4"/>
      <c r="O1365" s="4"/>
      <c r="P1365" s="4"/>
      <c r="Q1365" s="4"/>
      <c r="R1365" s="4"/>
      <c r="S1365" s="4"/>
      <c r="T1365" s="4"/>
      <c r="U1365" s="4"/>
      <c r="V1365" s="4"/>
      <c r="W1365" s="4"/>
      <c r="X1365" s="4"/>
      <c r="Y1365" s="4"/>
      <c r="Z1365" s="4"/>
    </row>
    <row r="1366" spans="1:26" ht="15.75" customHeight="1" x14ac:dyDescent="0.2">
      <c r="A1366" s="1" t="s">
        <v>2721</v>
      </c>
      <c r="B1366" s="1" t="s">
        <v>2722</v>
      </c>
      <c r="C1366" s="5" t="str">
        <f ca="1">IFERROR(__xludf.DUMMYFUNCTION("REGEXEXTRACT($B1366, $E$2)"),"udc")</f>
        <v>udc</v>
      </c>
      <c r="E1366" s="4"/>
      <c r="F1366" s="4"/>
      <c r="G1366" s="4"/>
      <c r="H1366" s="4"/>
      <c r="I1366" s="4"/>
      <c r="J1366" s="4"/>
      <c r="K1366" s="4"/>
      <c r="L1366" s="4"/>
      <c r="M1366" s="4"/>
      <c r="N1366" s="4"/>
      <c r="O1366" s="4"/>
      <c r="P1366" s="4"/>
      <c r="Q1366" s="4"/>
      <c r="R1366" s="4"/>
      <c r="S1366" s="4"/>
      <c r="T1366" s="4"/>
      <c r="U1366" s="4"/>
      <c r="V1366" s="4"/>
      <c r="W1366" s="4"/>
      <c r="X1366" s="4"/>
      <c r="Y1366" s="4"/>
      <c r="Z1366" s="4"/>
    </row>
    <row r="1367" spans="1:26" ht="15.75" customHeight="1" x14ac:dyDescent="0.2">
      <c r="A1367" s="1" t="s">
        <v>2723</v>
      </c>
      <c r="B1367" s="1" t="s">
        <v>2724</v>
      </c>
      <c r="C1367" s="5" t="str">
        <f ca="1">IFERROR(__xludf.DUMMYFUNCTION("REGEXEXTRACT($B1367, $E$2)"),"uiwtx")</f>
        <v>uiwtx</v>
      </c>
      <c r="E1367" s="4"/>
      <c r="F1367" s="4"/>
      <c r="G1367" s="4"/>
      <c r="H1367" s="4"/>
      <c r="I1367" s="4"/>
      <c r="J1367" s="4"/>
      <c r="K1367" s="4"/>
      <c r="L1367" s="4"/>
      <c r="M1367" s="4"/>
      <c r="N1367" s="4"/>
      <c r="O1367" s="4"/>
      <c r="P1367" s="4"/>
      <c r="Q1367" s="4"/>
      <c r="R1367" s="4"/>
      <c r="S1367" s="4"/>
      <c r="T1367" s="4"/>
      <c r="U1367" s="4"/>
      <c r="V1367" s="4"/>
      <c r="W1367" s="4"/>
      <c r="X1367" s="4"/>
      <c r="Y1367" s="4"/>
      <c r="Z1367" s="4"/>
    </row>
    <row r="1368" spans="1:26" ht="15.75" customHeight="1" x14ac:dyDescent="0.2">
      <c r="A1368" s="1" t="s">
        <v>2725</v>
      </c>
      <c r="B1368" s="1" t="s">
        <v>2726</v>
      </c>
      <c r="C1368" s="5" t="str">
        <f ca="1">IFERROR(__xludf.DUMMYFUNCTION("REGEXEXTRACT($B1368, $E$2)"),"ozarks")</f>
        <v>ozarks</v>
      </c>
      <c r="E1368" s="4"/>
      <c r="F1368" s="4"/>
      <c r="G1368" s="4"/>
      <c r="H1368" s="4"/>
      <c r="I1368" s="4"/>
      <c r="J1368" s="4"/>
      <c r="K1368" s="4"/>
      <c r="L1368" s="4"/>
      <c r="M1368" s="4"/>
      <c r="N1368" s="4"/>
      <c r="O1368" s="4"/>
      <c r="P1368" s="4"/>
      <c r="Q1368" s="4"/>
      <c r="R1368" s="4"/>
      <c r="S1368" s="4"/>
      <c r="T1368" s="4"/>
      <c r="U1368" s="4"/>
      <c r="V1368" s="4"/>
      <c r="W1368" s="4"/>
      <c r="X1368" s="4"/>
      <c r="Y1368" s="4"/>
      <c r="Z1368" s="4"/>
    </row>
    <row r="1369" spans="1:26" ht="15.75" customHeight="1" x14ac:dyDescent="0.2">
      <c r="A1369" s="1" t="s">
        <v>2727</v>
      </c>
      <c r="B1369" s="1" t="s">
        <v>2728</v>
      </c>
      <c r="C1369" s="5" t="str">
        <f ca="1">IFERROR(__xludf.DUMMYFUNCTION("REGEXEXTRACT($B1369, $E$2)"),"usw")</f>
        <v>usw</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ht="15.75" customHeight="1" x14ac:dyDescent="0.2">
      <c r="A1370" s="1" t="s">
        <v>2729</v>
      </c>
      <c r="B1370" s="1" t="s">
        <v>2730</v>
      </c>
      <c r="C1370" s="5" t="str">
        <f ca="1">IFERROR(__xludf.DUMMYFUNCTION("REGEXEXTRACT($B1370, $E$2)"),"uvi")</f>
        <v>uvi</v>
      </c>
      <c r="E1370" s="4"/>
      <c r="F1370" s="4"/>
      <c r="G1370" s="4"/>
      <c r="H1370" s="4"/>
      <c r="I1370" s="4"/>
      <c r="J1370" s="4"/>
      <c r="K1370" s="4"/>
      <c r="L1370" s="4"/>
      <c r="M1370" s="4"/>
      <c r="N1370" s="4"/>
      <c r="O1370" s="4"/>
      <c r="P1370" s="4"/>
      <c r="Q1370" s="4"/>
      <c r="R1370" s="4"/>
      <c r="S1370" s="4"/>
      <c r="T1370" s="4"/>
      <c r="U1370" s="4"/>
      <c r="V1370" s="4"/>
      <c r="W1370" s="4"/>
      <c r="X1370" s="4"/>
      <c r="Y1370" s="4"/>
      <c r="Z1370" s="4"/>
    </row>
    <row r="1371" spans="1:26" ht="15.75" customHeight="1" x14ac:dyDescent="0.2">
      <c r="A1371" s="1" t="s">
        <v>2731</v>
      </c>
      <c r="B1371" s="1" t="s">
        <v>2732</v>
      </c>
      <c r="C1371" s="5" t="str">
        <f ca="1">IFERROR(__xludf.DUMMYFUNCTION("REGEXEXTRACT($B1371, $E$2)"),"utoledo")</f>
        <v>utoledo</v>
      </c>
      <c r="E1371" s="4"/>
      <c r="F1371" s="4"/>
      <c r="G1371" s="4"/>
      <c r="H1371" s="4"/>
      <c r="I1371" s="4"/>
      <c r="J1371" s="4"/>
      <c r="K1371" s="4"/>
      <c r="L1371" s="4"/>
      <c r="M1371" s="4"/>
      <c r="N1371" s="4"/>
      <c r="O1371" s="4"/>
      <c r="P1371" s="4"/>
      <c r="Q1371" s="4"/>
      <c r="R1371" s="4"/>
      <c r="S1371" s="4"/>
      <c r="T1371" s="4"/>
      <c r="U1371" s="4"/>
      <c r="V1371" s="4"/>
      <c r="W1371" s="4"/>
      <c r="X1371" s="4"/>
      <c r="Y1371" s="4"/>
      <c r="Z1371" s="4"/>
    </row>
    <row r="1372" spans="1:26" ht="15.75" customHeight="1" x14ac:dyDescent="0.2">
      <c r="A1372" s="1" t="s">
        <v>2733</v>
      </c>
      <c r="B1372" s="1" t="s">
        <v>2734</v>
      </c>
      <c r="C1372" s="5" t="str">
        <f ca="1">IFERROR(__xludf.DUMMYFUNCTION("REGEXEXTRACT($B1372, $E$2)"),"utulsa")</f>
        <v>utulsa</v>
      </c>
      <c r="E1372" s="4"/>
      <c r="F1372" s="4"/>
      <c r="G1372" s="4"/>
      <c r="H1372" s="4"/>
      <c r="I1372" s="4"/>
      <c r="J1372" s="4"/>
      <c r="K1372" s="4"/>
      <c r="L1372" s="4"/>
      <c r="M1372" s="4"/>
      <c r="N1372" s="4"/>
      <c r="O1372" s="4"/>
      <c r="P1372" s="4"/>
      <c r="Q1372" s="4"/>
      <c r="R1372" s="4"/>
      <c r="S1372" s="4"/>
      <c r="T1372" s="4"/>
      <c r="U1372" s="4"/>
      <c r="V1372" s="4"/>
      <c r="W1372" s="4"/>
      <c r="X1372" s="4"/>
      <c r="Y1372" s="4"/>
      <c r="Z1372" s="4"/>
    </row>
    <row r="1373" spans="1:26" ht="15.75" customHeight="1" x14ac:dyDescent="0.2">
      <c r="A1373" s="1" t="s">
        <v>2735</v>
      </c>
      <c r="B1373" s="1" t="s">
        <v>2736</v>
      </c>
      <c r="C1373" s="5" t="str">
        <f ca="1">IFERROR(__xludf.DUMMYFUNCTION("REGEXEXTRACT($B1373, $E$2)"),"uvm")</f>
        <v>uvm</v>
      </c>
      <c r="E1373" s="4"/>
      <c r="F1373" s="4"/>
      <c r="G1373" s="4"/>
      <c r="H1373" s="4"/>
      <c r="I1373" s="4"/>
      <c r="J1373" s="4"/>
      <c r="K1373" s="4"/>
      <c r="L1373" s="4"/>
      <c r="M1373" s="4"/>
      <c r="N1373" s="4"/>
      <c r="O1373" s="4"/>
      <c r="P1373" s="4"/>
      <c r="Q1373" s="4"/>
      <c r="R1373" s="4"/>
      <c r="S1373" s="4"/>
      <c r="T1373" s="4"/>
      <c r="U1373" s="4"/>
      <c r="V1373" s="4"/>
      <c r="W1373" s="4"/>
      <c r="X1373" s="4"/>
      <c r="Y1373" s="4"/>
      <c r="Z1373" s="4"/>
    </row>
    <row r="1374" spans="1:26" ht="15.75" customHeight="1" x14ac:dyDescent="0.2">
      <c r="A1374" s="1" t="s">
        <v>2737</v>
      </c>
      <c r="B1374" s="1" t="s">
        <v>2738</v>
      </c>
      <c r="C1374" s="5" t="str">
        <f ca="1">IFERROR(__xludf.DUMMYFUNCTION("REGEXEXTRACT($B1374, $E$2)"),"virginia")</f>
        <v>virginia</v>
      </c>
      <c r="E1374" s="4"/>
      <c r="F1374" s="4"/>
      <c r="G1374" s="4"/>
      <c r="H1374" s="4"/>
      <c r="I1374" s="4"/>
      <c r="J1374" s="4"/>
      <c r="K1374" s="4"/>
      <c r="L1374" s="4"/>
      <c r="M1374" s="4"/>
      <c r="N1374" s="4"/>
      <c r="O1374" s="4"/>
      <c r="P1374" s="4"/>
      <c r="Q1374" s="4"/>
      <c r="R1374" s="4"/>
      <c r="S1374" s="4"/>
      <c r="T1374" s="4"/>
      <c r="U1374" s="4"/>
      <c r="V1374" s="4"/>
      <c r="W1374" s="4"/>
      <c r="X1374" s="4"/>
      <c r="Y1374" s="4"/>
      <c r="Z1374" s="4"/>
    </row>
    <row r="1375" spans="1:26" ht="15.75" customHeight="1" x14ac:dyDescent="0.2">
      <c r="A1375" s="1" t="s">
        <v>2739</v>
      </c>
      <c r="B1375" s="1" t="s">
        <v>2740</v>
      </c>
      <c r="C1375" s="5" t="str">
        <f ca="1">IFERROR(__xludf.DUMMYFUNCTION("REGEXEXTRACT($B1375, $E$2)"),"uvawise")</f>
        <v>uvawise</v>
      </c>
      <c r="E1375" s="4"/>
      <c r="F1375" s="4"/>
      <c r="G1375" s="4"/>
      <c r="H1375" s="4"/>
      <c r="I1375" s="4"/>
      <c r="J1375" s="4"/>
      <c r="K1375" s="4"/>
      <c r="L1375" s="4"/>
      <c r="M1375" s="4"/>
      <c r="N1375" s="4"/>
      <c r="O1375" s="4"/>
      <c r="P1375" s="4"/>
      <c r="Q1375" s="4"/>
      <c r="R1375" s="4"/>
      <c r="S1375" s="4"/>
      <c r="T1375" s="4"/>
      <c r="U1375" s="4"/>
      <c r="V1375" s="4"/>
      <c r="W1375" s="4"/>
      <c r="X1375" s="4"/>
      <c r="Y1375" s="4"/>
      <c r="Z1375" s="4"/>
    </row>
    <row r="1376" spans="1:26" ht="15.75" customHeight="1" x14ac:dyDescent="0.2">
      <c r="A1376" s="1" t="s">
        <v>2741</v>
      </c>
      <c r="B1376" s="1" t="s">
        <v>2742</v>
      </c>
      <c r="C1376" s="5" t="str">
        <f ca="1">IFERROR(__xludf.DUMMYFUNCTION("REGEXEXTRACT($B1376, $E$2)"),"uw")</f>
        <v>uw</v>
      </c>
      <c r="E1376" s="4"/>
      <c r="F1376" s="4"/>
      <c r="G1376" s="4"/>
      <c r="H1376" s="4"/>
      <c r="I1376" s="4"/>
      <c r="J1376" s="4"/>
      <c r="K1376" s="4"/>
      <c r="L1376" s="4"/>
      <c r="M1376" s="4"/>
      <c r="N1376" s="4"/>
      <c r="O1376" s="4"/>
      <c r="P1376" s="4"/>
      <c r="Q1376" s="4"/>
      <c r="R1376" s="4"/>
      <c r="S1376" s="4"/>
      <c r="T1376" s="4"/>
      <c r="U1376" s="4"/>
      <c r="V1376" s="4"/>
      <c r="W1376" s="4"/>
      <c r="X1376" s="4"/>
      <c r="Y1376" s="4"/>
      <c r="Z1376" s="4"/>
    </row>
    <row r="1377" spans="1:26" ht="15.75" customHeight="1" x14ac:dyDescent="0.2">
      <c r="A1377" s="1" t="s">
        <v>2743</v>
      </c>
      <c r="B1377" s="8" t="s">
        <v>2744</v>
      </c>
      <c r="C1377" s="5" t="str">
        <f ca="1">IFERROR(__xludf.DUMMYFUNCTION("REGEXEXTRACT($B1377, $E$2)"),"uwest")</f>
        <v>uwest</v>
      </c>
      <c r="E1377" s="4"/>
      <c r="F1377" s="4"/>
      <c r="G1377" s="4"/>
      <c r="H1377" s="4"/>
      <c r="I1377" s="4"/>
      <c r="J1377" s="4"/>
      <c r="K1377" s="4"/>
      <c r="L1377" s="4"/>
      <c r="M1377" s="4"/>
      <c r="N1377" s="4"/>
      <c r="O1377" s="4"/>
      <c r="P1377" s="4"/>
      <c r="Q1377" s="4"/>
      <c r="R1377" s="4"/>
      <c r="S1377" s="4"/>
      <c r="T1377" s="4"/>
      <c r="U1377" s="4"/>
      <c r="V1377" s="4"/>
      <c r="W1377" s="4"/>
      <c r="X1377" s="4"/>
      <c r="Y1377" s="4"/>
      <c r="Z1377" s="4"/>
    </row>
    <row r="1378" spans="1:26" ht="15.75" customHeight="1" x14ac:dyDescent="0.2">
      <c r="A1378" s="1" t="s">
        <v>2745</v>
      </c>
      <c r="B1378" s="1" t="s">
        <v>2746</v>
      </c>
      <c r="C1378" s="5" t="str">
        <f ca="1">IFERROR(__xludf.DUMMYFUNCTION("REGEXEXTRACT($B1378, $E$2)"),"uwa")</f>
        <v>uwa</v>
      </c>
      <c r="E1378" s="4"/>
      <c r="F1378" s="4"/>
      <c r="G1378" s="4"/>
      <c r="H1378" s="4"/>
      <c r="I1378" s="4"/>
      <c r="J1378" s="4"/>
      <c r="K1378" s="4"/>
      <c r="L1378" s="4"/>
      <c r="M1378" s="4"/>
      <c r="N1378" s="4"/>
      <c r="O1378" s="4"/>
      <c r="P1378" s="4"/>
      <c r="Q1378" s="4"/>
      <c r="R1378" s="4"/>
      <c r="S1378" s="4"/>
      <c r="T1378" s="4"/>
      <c r="U1378" s="4"/>
      <c r="V1378" s="4"/>
      <c r="W1378" s="4"/>
      <c r="X1378" s="4"/>
      <c r="Y1378" s="4"/>
      <c r="Z1378" s="4"/>
    </row>
    <row r="1379" spans="1:26" ht="15.75" customHeight="1" x14ac:dyDescent="0.2">
      <c r="A1379" s="1" t="s">
        <v>2747</v>
      </c>
      <c r="B1379" s="1" t="s">
        <v>2748</v>
      </c>
      <c r="C1379" s="5" t="str">
        <f ca="1">IFERROR(__xludf.DUMMYFUNCTION("REGEXEXTRACT($B1379, $E$2)"),"uwf")</f>
        <v>uwf</v>
      </c>
      <c r="E1379" s="4"/>
      <c r="F1379" s="4"/>
      <c r="G1379" s="4"/>
      <c r="H1379" s="4"/>
      <c r="I1379" s="4"/>
      <c r="J1379" s="4"/>
      <c r="K1379" s="4"/>
      <c r="L1379" s="4"/>
      <c r="M1379" s="4"/>
      <c r="N1379" s="4"/>
      <c r="O1379" s="4"/>
      <c r="P1379" s="4"/>
      <c r="Q1379" s="4"/>
      <c r="R1379" s="4"/>
      <c r="S1379" s="4"/>
      <c r="T1379" s="4"/>
      <c r="U1379" s="4"/>
      <c r="V1379" s="4"/>
      <c r="W1379" s="4"/>
      <c r="X1379" s="4"/>
      <c r="Y1379" s="4"/>
      <c r="Z1379" s="4"/>
    </row>
    <row r="1380" spans="1:26" ht="15.75" customHeight="1" x14ac:dyDescent="0.2">
      <c r="A1380" s="1" t="s">
        <v>2749</v>
      </c>
      <c r="B1380" s="1" t="s">
        <v>2750</v>
      </c>
      <c r="C1380" s="5" t="str">
        <f ca="1">IFERROR(__xludf.DUMMYFUNCTION("REGEXEXTRACT($B1380, $E$2)"),"westga")</f>
        <v>westga</v>
      </c>
      <c r="E1380" s="4"/>
      <c r="F1380" s="4"/>
      <c r="G1380" s="4"/>
      <c r="H1380" s="4"/>
      <c r="I1380" s="4"/>
      <c r="J1380" s="4"/>
      <c r="K1380" s="4"/>
      <c r="L1380" s="4"/>
      <c r="M1380" s="4"/>
      <c r="N1380" s="4"/>
      <c r="O1380" s="4"/>
      <c r="P1380" s="4"/>
      <c r="Q1380" s="4"/>
      <c r="R1380" s="4"/>
      <c r="S1380" s="4"/>
      <c r="T1380" s="4"/>
      <c r="U1380" s="4"/>
      <c r="V1380" s="4"/>
      <c r="W1380" s="4"/>
      <c r="X1380" s="4"/>
      <c r="Y1380" s="4"/>
      <c r="Z1380" s="4"/>
    </row>
    <row r="1381" spans="1:26" ht="15.75" customHeight="1" x14ac:dyDescent="0.2">
      <c r="A1381" s="1" t="s">
        <v>2751</v>
      </c>
      <c r="B1381" s="1" t="s">
        <v>2752</v>
      </c>
      <c r="C1381" s="5" t="str">
        <f ca="1">IFERROR(__xludf.DUMMYFUNCTION("REGEXEXTRACT($B1381, $E$2)"),"uwec")</f>
        <v>uwec</v>
      </c>
      <c r="E1381" s="4"/>
      <c r="F1381" s="4"/>
      <c r="G1381" s="4"/>
      <c r="H1381" s="4"/>
      <c r="I1381" s="4"/>
      <c r="J1381" s="4"/>
      <c r="K1381" s="4"/>
      <c r="L1381" s="4"/>
      <c r="M1381" s="4"/>
      <c r="N1381" s="4"/>
      <c r="O1381" s="4"/>
      <c r="P1381" s="4"/>
      <c r="Q1381" s="4"/>
      <c r="R1381" s="4"/>
      <c r="S1381" s="4"/>
      <c r="T1381" s="4"/>
      <c r="U1381" s="4"/>
      <c r="V1381" s="4"/>
      <c r="W1381" s="4"/>
      <c r="X1381" s="4"/>
      <c r="Y1381" s="4"/>
      <c r="Z1381" s="4"/>
    </row>
    <row r="1382" spans="1:26" ht="15.75" customHeight="1" x14ac:dyDescent="0.2">
      <c r="A1382" s="1" t="s">
        <v>2753</v>
      </c>
      <c r="B1382" s="1" t="s">
        <v>2754</v>
      </c>
      <c r="C1382" s="5" t="str">
        <f ca="1">IFERROR(__xludf.DUMMYFUNCTION("REGEXEXTRACT($B1382, $E$2)"),"uwgb")</f>
        <v>uwgb</v>
      </c>
      <c r="E1382" s="4"/>
      <c r="F1382" s="4"/>
      <c r="G1382" s="4"/>
      <c r="H1382" s="4"/>
      <c r="I1382" s="4"/>
      <c r="J1382" s="4"/>
      <c r="K1382" s="4"/>
      <c r="L1382" s="4"/>
      <c r="M1382" s="4"/>
      <c r="N1382" s="4"/>
      <c r="O1382" s="4"/>
      <c r="P1382" s="4"/>
      <c r="Q1382" s="4"/>
      <c r="R1382" s="4"/>
      <c r="S1382" s="4"/>
      <c r="T1382" s="4"/>
      <c r="U1382" s="4"/>
      <c r="V1382" s="4"/>
      <c r="W1382" s="4"/>
      <c r="X1382" s="4"/>
      <c r="Y1382" s="4"/>
      <c r="Z1382" s="4"/>
    </row>
    <row r="1383" spans="1:26" ht="15.75" customHeight="1" x14ac:dyDescent="0.2">
      <c r="A1383" s="1" t="s">
        <v>2755</v>
      </c>
      <c r="B1383" s="1" t="s">
        <v>2756</v>
      </c>
      <c r="C1383" s="5" t="str">
        <f ca="1">IFERROR(__xludf.DUMMYFUNCTION("REGEXEXTRACT($B1383, $E$2)"),"uwlax")</f>
        <v>uwlax</v>
      </c>
      <c r="E1383" s="4"/>
      <c r="F1383" s="4"/>
      <c r="G1383" s="4"/>
      <c r="H1383" s="4"/>
      <c r="I1383" s="4"/>
      <c r="J1383" s="4"/>
      <c r="K1383" s="4"/>
      <c r="L1383" s="4"/>
      <c r="M1383" s="4"/>
      <c r="N1383" s="4"/>
      <c r="O1383" s="4"/>
      <c r="P1383" s="4"/>
      <c r="Q1383" s="4"/>
      <c r="R1383" s="4"/>
      <c r="S1383" s="4"/>
      <c r="T1383" s="4"/>
      <c r="U1383" s="4"/>
      <c r="V1383" s="4"/>
      <c r="W1383" s="4"/>
      <c r="X1383" s="4"/>
      <c r="Y1383" s="4"/>
      <c r="Z1383" s="4"/>
    </row>
    <row r="1384" spans="1:26" ht="15.75" customHeight="1" x14ac:dyDescent="0.2">
      <c r="A1384" s="1" t="s">
        <v>2757</v>
      </c>
      <c r="B1384" s="1" t="s">
        <v>2758</v>
      </c>
      <c r="C1384" s="5" t="str">
        <f ca="1">IFERROR(__xludf.DUMMYFUNCTION("REGEXEXTRACT($B1384, $E$2)"),"uwm")</f>
        <v>uwm</v>
      </c>
      <c r="E1384" s="4"/>
      <c r="F1384" s="4"/>
      <c r="G1384" s="4"/>
      <c r="H1384" s="4"/>
      <c r="I1384" s="4"/>
      <c r="J1384" s="4"/>
      <c r="K1384" s="4"/>
      <c r="L1384" s="4"/>
      <c r="M1384" s="4"/>
      <c r="N1384" s="4"/>
      <c r="O1384" s="4"/>
      <c r="P1384" s="4"/>
      <c r="Q1384" s="4"/>
      <c r="R1384" s="4"/>
      <c r="S1384" s="4"/>
      <c r="T1384" s="4"/>
      <c r="U1384" s="4"/>
      <c r="V1384" s="4"/>
      <c r="W1384" s="4"/>
      <c r="X1384" s="4"/>
      <c r="Y1384" s="4"/>
      <c r="Z1384" s="4"/>
    </row>
    <row r="1385" spans="1:26" ht="15.75" customHeight="1" x14ac:dyDescent="0.2">
      <c r="A1385" s="1" t="s">
        <v>2759</v>
      </c>
      <c r="B1385" s="1" t="s">
        <v>2760</v>
      </c>
      <c r="C1385" s="5" t="str">
        <f ca="1">IFERROR(__xludf.DUMMYFUNCTION("REGEXEXTRACT($B1385, $E$2)"),"uwosh")</f>
        <v>uwosh</v>
      </c>
      <c r="E1385" s="4"/>
      <c r="F1385" s="4"/>
      <c r="G1385" s="4"/>
      <c r="H1385" s="4"/>
      <c r="I1385" s="4"/>
      <c r="J1385" s="4"/>
      <c r="K1385" s="4"/>
      <c r="L1385" s="4"/>
      <c r="M1385" s="4"/>
      <c r="N1385" s="4"/>
      <c r="O1385" s="4"/>
      <c r="P1385" s="4"/>
      <c r="Q1385" s="4"/>
      <c r="R1385" s="4"/>
      <c r="S1385" s="4"/>
      <c r="T1385" s="4"/>
      <c r="U1385" s="4"/>
      <c r="V1385" s="4"/>
      <c r="W1385" s="4"/>
      <c r="X1385" s="4"/>
      <c r="Y1385" s="4"/>
      <c r="Z1385" s="4"/>
    </row>
    <row r="1386" spans="1:26" ht="15.75" customHeight="1" x14ac:dyDescent="0.2">
      <c r="A1386" s="1" t="s">
        <v>2761</v>
      </c>
      <c r="B1386" s="1" t="s">
        <v>2762</v>
      </c>
      <c r="C1386" s="5" t="str">
        <f ca="1">IFERROR(__xludf.DUMMYFUNCTION("REGEXEXTRACT($B1386, $E$2)"),"uwp")</f>
        <v>uwp</v>
      </c>
      <c r="E1386" s="4"/>
      <c r="F1386" s="4"/>
      <c r="G1386" s="4"/>
      <c r="H1386" s="4"/>
      <c r="I1386" s="4"/>
      <c r="J1386" s="4"/>
      <c r="K1386" s="4"/>
      <c r="L1386" s="4"/>
      <c r="M1386" s="4"/>
      <c r="N1386" s="4"/>
      <c r="O1386" s="4"/>
      <c r="P1386" s="4"/>
      <c r="Q1386" s="4"/>
      <c r="R1386" s="4"/>
      <c r="S1386" s="4"/>
      <c r="T1386" s="4"/>
      <c r="U1386" s="4"/>
      <c r="V1386" s="4"/>
      <c r="W1386" s="4"/>
      <c r="X1386" s="4"/>
      <c r="Y1386" s="4"/>
      <c r="Z1386" s="4"/>
    </row>
    <row r="1387" spans="1:26" ht="15.75" customHeight="1" x14ac:dyDescent="0.2">
      <c r="A1387" s="1" t="s">
        <v>2763</v>
      </c>
      <c r="B1387" s="1" t="s">
        <v>2764</v>
      </c>
      <c r="C1387" s="5" t="str">
        <f ca="1">IFERROR(__xludf.DUMMYFUNCTION("REGEXEXTRACT($B1387, $E$2)"),"uwplatt")</f>
        <v>uwplatt</v>
      </c>
      <c r="E1387" s="4"/>
      <c r="F1387" s="4"/>
      <c r="G1387" s="4"/>
      <c r="H1387" s="4"/>
      <c r="I1387" s="4"/>
      <c r="J1387" s="4"/>
      <c r="K1387" s="4"/>
      <c r="L1387" s="4"/>
      <c r="M1387" s="4"/>
      <c r="N1387" s="4"/>
      <c r="O1387" s="4"/>
      <c r="P1387" s="4"/>
      <c r="Q1387" s="4"/>
      <c r="R1387" s="4"/>
      <c r="S1387" s="4"/>
      <c r="T1387" s="4"/>
      <c r="U1387" s="4"/>
      <c r="V1387" s="4"/>
      <c r="W1387" s="4"/>
      <c r="X1387" s="4"/>
      <c r="Y1387" s="4"/>
      <c r="Z1387" s="4"/>
    </row>
    <row r="1388" spans="1:26" ht="15.75" customHeight="1" x14ac:dyDescent="0.2">
      <c r="A1388" s="1" t="s">
        <v>2765</v>
      </c>
      <c r="B1388" s="1" t="s">
        <v>2766</v>
      </c>
      <c r="C1388" s="5" t="str">
        <f ca="1">IFERROR(__xludf.DUMMYFUNCTION("REGEXEXTRACT($B1388, $E$2)"),"uwrf")</f>
        <v>uwrf</v>
      </c>
      <c r="E1388" s="4"/>
      <c r="F1388" s="4"/>
      <c r="G1388" s="4"/>
      <c r="H1388" s="4"/>
      <c r="I1388" s="4"/>
      <c r="J1388" s="4"/>
      <c r="K1388" s="4"/>
      <c r="L1388" s="4"/>
      <c r="M1388" s="4"/>
      <c r="N1388" s="4"/>
      <c r="O1388" s="4"/>
      <c r="P1388" s="4"/>
      <c r="Q1388" s="4"/>
      <c r="R1388" s="4"/>
      <c r="S1388" s="4"/>
      <c r="T1388" s="4"/>
      <c r="U1388" s="4"/>
      <c r="V1388" s="4"/>
      <c r="W1388" s="4"/>
      <c r="X1388" s="4"/>
      <c r="Y1388" s="4"/>
      <c r="Z1388" s="4"/>
    </row>
    <row r="1389" spans="1:26" ht="15.75" customHeight="1" x14ac:dyDescent="0.2">
      <c r="A1389" s="1" t="s">
        <v>2767</v>
      </c>
      <c r="B1389" s="1" t="s">
        <v>2768</v>
      </c>
      <c r="C1389" s="5" t="str">
        <f ca="1">IFERROR(__xludf.DUMMYFUNCTION("REGEXEXTRACT($B1389, $E$2)"),"uwsp")</f>
        <v>uwsp</v>
      </c>
      <c r="E1389" s="4"/>
      <c r="F1389" s="4"/>
      <c r="G1389" s="4"/>
      <c r="H1389" s="4"/>
      <c r="I1389" s="4"/>
      <c r="J1389" s="4"/>
      <c r="K1389" s="4"/>
      <c r="L1389" s="4"/>
      <c r="M1389" s="4"/>
      <c r="N1389" s="4"/>
      <c r="O1389" s="4"/>
      <c r="P1389" s="4"/>
      <c r="Q1389" s="4"/>
      <c r="R1389" s="4"/>
      <c r="S1389" s="4"/>
      <c r="T1389" s="4"/>
      <c r="U1389" s="4"/>
      <c r="V1389" s="4"/>
      <c r="W1389" s="4"/>
      <c r="X1389" s="4"/>
      <c r="Y1389" s="4"/>
      <c r="Z1389" s="4"/>
    </row>
    <row r="1390" spans="1:26" ht="15.75" customHeight="1" x14ac:dyDescent="0.2">
      <c r="A1390" s="1" t="s">
        <v>2769</v>
      </c>
      <c r="B1390" s="1" t="s">
        <v>2770</v>
      </c>
      <c r="C1390" s="5" t="str">
        <f ca="1">IFERROR(__xludf.DUMMYFUNCTION("REGEXEXTRACT($B1390, $E$2)"),"uwstout")</f>
        <v>uwstout</v>
      </c>
      <c r="E1390" s="4"/>
      <c r="F1390" s="4"/>
      <c r="G1390" s="4"/>
      <c r="H1390" s="4"/>
      <c r="I1390" s="4"/>
      <c r="J1390" s="4"/>
      <c r="K1390" s="4"/>
      <c r="L1390" s="4"/>
      <c r="M1390" s="4"/>
      <c r="N1390" s="4"/>
      <c r="O1390" s="4"/>
      <c r="P1390" s="4"/>
      <c r="Q1390" s="4"/>
      <c r="R1390" s="4"/>
      <c r="S1390" s="4"/>
      <c r="T1390" s="4"/>
      <c r="U1390" s="4"/>
      <c r="V1390" s="4"/>
      <c r="W1390" s="4"/>
      <c r="X1390" s="4"/>
      <c r="Y1390" s="4"/>
      <c r="Z1390" s="4"/>
    </row>
    <row r="1391" spans="1:26" ht="15.75" customHeight="1" x14ac:dyDescent="0.2">
      <c r="A1391" s="1" t="s">
        <v>2771</v>
      </c>
      <c r="B1391" s="1" t="s">
        <v>2772</v>
      </c>
      <c r="C1391" s="5" t="str">
        <f ca="1">IFERROR(__xludf.DUMMYFUNCTION("REGEXEXTRACT($B1391, $E$2)"),"uwsuper")</f>
        <v>uwsuper</v>
      </c>
      <c r="E1391" s="4"/>
      <c r="F1391" s="4"/>
      <c r="G1391" s="4"/>
      <c r="H1391" s="4"/>
      <c r="I1391" s="4"/>
      <c r="J1391" s="4"/>
      <c r="K1391" s="4"/>
      <c r="L1391" s="4"/>
      <c r="M1391" s="4"/>
      <c r="N1391" s="4"/>
      <c r="O1391" s="4"/>
      <c r="P1391" s="4"/>
      <c r="Q1391" s="4"/>
      <c r="R1391" s="4"/>
      <c r="S1391" s="4"/>
      <c r="T1391" s="4"/>
      <c r="U1391" s="4"/>
      <c r="V1391" s="4"/>
      <c r="W1391" s="4"/>
      <c r="X1391" s="4"/>
      <c r="Y1391" s="4"/>
      <c r="Z1391" s="4"/>
    </row>
    <row r="1392" spans="1:26" ht="15.75" customHeight="1" x14ac:dyDescent="0.2">
      <c r="A1392" s="1" t="s">
        <v>2773</v>
      </c>
      <c r="B1392" s="1" t="s">
        <v>2774</v>
      </c>
      <c r="C1392" s="5" t="str">
        <f ca="1">IFERROR(__xludf.DUMMYFUNCTION("REGEXEXTRACT($B1392, $E$2)"),"uww")</f>
        <v>uww</v>
      </c>
      <c r="E1392" s="4"/>
      <c r="F1392" s="4"/>
      <c r="G1392" s="4"/>
      <c r="H1392" s="4"/>
      <c r="I1392" s="4"/>
      <c r="J1392" s="4"/>
      <c r="K1392" s="4"/>
      <c r="L1392" s="4"/>
      <c r="M1392" s="4"/>
      <c r="N1392" s="4"/>
      <c r="O1392" s="4"/>
      <c r="P1392" s="4"/>
      <c r="Q1392" s="4"/>
      <c r="R1392" s="4"/>
      <c r="S1392" s="4"/>
      <c r="T1392" s="4"/>
      <c r="U1392" s="4"/>
      <c r="V1392" s="4"/>
      <c r="W1392" s="4"/>
      <c r="X1392" s="4"/>
      <c r="Y1392" s="4"/>
      <c r="Z1392" s="4"/>
    </row>
    <row r="1393" spans="1:26" ht="15.75" customHeight="1" x14ac:dyDescent="0.2">
      <c r="A1393" s="1" t="s">
        <v>2775</v>
      </c>
      <c r="B1393" s="1" t="s">
        <v>2776</v>
      </c>
      <c r="C1393" s="5" t="str">
        <f ca="1">IFERROR(__xludf.DUMMYFUNCTION("REGEXEXTRACT($B1393, $E$2)"),"uwyo")</f>
        <v>uwyo</v>
      </c>
      <c r="E1393" s="4"/>
      <c r="F1393" s="4"/>
      <c r="G1393" s="4"/>
      <c r="H1393" s="4"/>
      <c r="I1393" s="4"/>
      <c r="J1393" s="4"/>
      <c r="K1393" s="4"/>
      <c r="L1393" s="4"/>
      <c r="M1393" s="4"/>
      <c r="N1393" s="4"/>
      <c r="O1393" s="4"/>
      <c r="P1393" s="4"/>
      <c r="Q1393" s="4"/>
      <c r="R1393" s="4"/>
      <c r="S1393" s="4"/>
      <c r="T1393" s="4"/>
      <c r="U1393" s="4"/>
      <c r="V1393" s="4"/>
      <c r="W1393" s="4"/>
      <c r="X1393" s="4"/>
      <c r="Y1393" s="4"/>
      <c r="Z1393" s="4"/>
    </row>
    <row r="1394" spans="1:26" ht="15.75" customHeight="1" x14ac:dyDescent="0.2">
      <c r="A1394" s="1" t="s">
        <v>2777</v>
      </c>
      <c r="B1394" s="1" t="s">
        <v>2778</v>
      </c>
      <c r="C1394" s="5" t="str">
        <f ca="1">IFERROR(__xludf.DUMMYFUNCTION("REGEXEXTRACT($B1394, $E$2)"),"uiu")</f>
        <v>uiu</v>
      </c>
      <c r="E1394" s="4"/>
      <c r="F1394" s="4"/>
      <c r="G1394" s="4"/>
      <c r="H1394" s="4"/>
      <c r="I1394" s="4"/>
      <c r="J1394" s="4"/>
      <c r="K1394" s="4"/>
      <c r="L1394" s="4"/>
      <c r="M1394" s="4"/>
      <c r="N1394" s="4"/>
      <c r="O1394" s="4"/>
      <c r="P1394" s="4"/>
      <c r="Q1394" s="4"/>
      <c r="R1394" s="4"/>
      <c r="S1394" s="4"/>
      <c r="T1394" s="4"/>
      <c r="U1394" s="4"/>
      <c r="V1394" s="4"/>
      <c r="W1394" s="4"/>
      <c r="X1394" s="4"/>
      <c r="Y1394" s="4"/>
      <c r="Z1394" s="4"/>
    </row>
    <row r="1395" spans="1:26" ht="15.75" customHeight="1" x14ac:dyDescent="0.2">
      <c r="A1395" s="1" t="s">
        <v>2779</v>
      </c>
      <c r="B1395" s="1" t="s">
        <v>2780</v>
      </c>
      <c r="C1395" s="5" t="str">
        <f ca="1">IFERROR(__xludf.DUMMYFUNCTION("REGEXEXTRACT($B1395, $E$2)"),"urbana")</f>
        <v>urbana</v>
      </c>
      <c r="E1395" s="4"/>
      <c r="F1395" s="4"/>
      <c r="G1395" s="4"/>
      <c r="H1395" s="4"/>
      <c r="I1395" s="4"/>
      <c r="J1395" s="4"/>
      <c r="K1395" s="4"/>
      <c r="L1395" s="4"/>
      <c r="M1395" s="4"/>
      <c r="N1395" s="4"/>
      <c r="O1395" s="4"/>
      <c r="P1395" s="4"/>
      <c r="Q1395" s="4"/>
      <c r="R1395" s="4"/>
      <c r="S1395" s="4"/>
      <c r="T1395" s="4"/>
      <c r="U1395" s="4"/>
      <c r="V1395" s="4"/>
      <c r="W1395" s="4"/>
      <c r="X1395" s="4"/>
      <c r="Y1395" s="4"/>
      <c r="Z1395" s="4"/>
    </row>
    <row r="1396" spans="1:26" ht="15.75" customHeight="1" x14ac:dyDescent="0.2">
      <c r="A1396" s="1" t="s">
        <v>2781</v>
      </c>
      <c r="B1396" s="1" t="s">
        <v>2782</v>
      </c>
      <c r="C1396" s="5" t="str">
        <f ca="1">IFERROR(__xludf.DUMMYFUNCTION("REGEXEXTRACT($B1396, $E$2)"),"ursinus")</f>
        <v>ursinus</v>
      </c>
      <c r="E1396" s="4"/>
      <c r="F1396" s="4"/>
      <c r="G1396" s="4"/>
      <c r="H1396" s="4"/>
      <c r="I1396" s="4"/>
      <c r="J1396" s="4"/>
      <c r="K1396" s="4"/>
      <c r="L1396" s="4"/>
      <c r="M1396" s="4"/>
      <c r="N1396" s="4"/>
      <c r="O1396" s="4"/>
      <c r="P1396" s="4"/>
      <c r="Q1396" s="4"/>
      <c r="R1396" s="4"/>
      <c r="S1396" s="4"/>
      <c r="T1396" s="4"/>
      <c r="U1396" s="4"/>
      <c r="V1396" s="4"/>
      <c r="W1396" s="4"/>
      <c r="X1396" s="4"/>
      <c r="Y1396" s="4"/>
      <c r="Z1396" s="4"/>
    </row>
    <row r="1397" spans="1:26" ht="15.75" customHeight="1" x14ac:dyDescent="0.2">
      <c r="A1397" s="1" t="s">
        <v>2783</v>
      </c>
      <c r="B1397" s="1" t="s">
        <v>2784</v>
      </c>
      <c r="C1397" s="5" t="str">
        <f ca="1">IFERROR(__xludf.DUMMYFUNCTION("REGEXEXTRACT($B1397, $E$2)"),"ursuline")</f>
        <v>ursuline</v>
      </c>
      <c r="E1397" s="4"/>
      <c r="F1397" s="4"/>
      <c r="G1397" s="4"/>
      <c r="H1397" s="4"/>
      <c r="I1397" s="4"/>
      <c r="J1397" s="4"/>
      <c r="K1397" s="4"/>
      <c r="L1397" s="4"/>
      <c r="M1397" s="4"/>
      <c r="N1397" s="4"/>
      <c r="O1397" s="4"/>
      <c r="P1397" s="4"/>
      <c r="Q1397" s="4"/>
      <c r="R1397" s="4"/>
      <c r="S1397" s="4"/>
      <c r="T1397" s="4"/>
      <c r="U1397" s="4"/>
      <c r="V1397" s="4"/>
      <c r="W1397" s="4"/>
      <c r="X1397" s="4"/>
      <c r="Y1397" s="4"/>
      <c r="Z1397" s="4"/>
    </row>
    <row r="1398" spans="1:26" ht="15.75" customHeight="1" x14ac:dyDescent="0.2">
      <c r="A1398" s="1" t="s">
        <v>2785</v>
      </c>
      <c r="B1398" s="1" t="s">
        <v>2786</v>
      </c>
      <c r="C1398" s="5" t="str">
        <f ca="1">IFERROR(__xludf.DUMMYFUNCTION("REGEXEXTRACT($B1398, $E$2)"),"usu")</f>
        <v>usu</v>
      </c>
      <c r="E1398" s="4"/>
      <c r="F1398" s="4"/>
      <c r="G1398" s="4"/>
      <c r="H1398" s="4"/>
      <c r="I1398" s="4"/>
      <c r="J1398" s="4"/>
      <c r="K1398" s="4"/>
      <c r="L1398" s="4"/>
      <c r="M1398" s="4"/>
      <c r="N1398" s="4"/>
      <c r="O1398" s="4"/>
      <c r="P1398" s="4"/>
      <c r="Q1398" s="4"/>
      <c r="R1398" s="4"/>
      <c r="S1398" s="4"/>
      <c r="T1398" s="4"/>
      <c r="U1398" s="4"/>
      <c r="V1398" s="4"/>
      <c r="W1398" s="4"/>
      <c r="X1398" s="4"/>
      <c r="Y1398" s="4"/>
      <c r="Z1398" s="4"/>
    </row>
    <row r="1399" spans="1:26" ht="15.75" customHeight="1" x14ac:dyDescent="0.2">
      <c r="A1399" s="1" t="s">
        <v>2787</v>
      </c>
      <c r="B1399" s="1" t="s">
        <v>2788</v>
      </c>
      <c r="C1399" s="5" t="str">
        <f ca="1">IFERROR(__xludf.DUMMYFUNCTION("REGEXEXTRACT($B1399, $E$2)"),"uvu")</f>
        <v>uvu</v>
      </c>
      <c r="E1399" s="4"/>
      <c r="F1399" s="4"/>
      <c r="G1399" s="4"/>
      <c r="H1399" s="4"/>
      <c r="I1399" s="4"/>
      <c r="J1399" s="4"/>
      <c r="K1399" s="4"/>
      <c r="L1399" s="4"/>
      <c r="M1399" s="4"/>
      <c r="N1399" s="4"/>
      <c r="O1399" s="4"/>
      <c r="P1399" s="4"/>
      <c r="Q1399" s="4"/>
      <c r="R1399" s="4"/>
      <c r="S1399" s="4"/>
      <c r="T1399" s="4"/>
      <c r="U1399" s="4"/>
      <c r="V1399" s="4"/>
      <c r="W1399" s="4"/>
      <c r="X1399" s="4"/>
      <c r="Y1399" s="4"/>
      <c r="Z1399" s="4"/>
    </row>
    <row r="1400" spans="1:26" ht="15.75" customHeight="1" x14ac:dyDescent="0.2">
      <c r="A1400" s="1" t="s">
        <v>2789</v>
      </c>
      <c r="B1400" s="1" t="s">
        <v>2790</v>
      </c>
      <c r="C1400" s="5" t="str">
        <f ca="1">IFERROR(__xludf.DUMMYFUNCTION("REGEXEXTRACT($B1400, $E$2)"),"utica")</f>
        <v>utica</v>
      </c>
      <c r="E1400" s="4"/>
      <c r="F1400" s="4"/>
      <c r="G1400" s="4"/>
      <c r="H1400" s="4"/>
      <c r="I1400" s="4"/>
      <c r="J1400" s="4"/>
      <c r="K1400" s="4"/>
      <c r="L1400" s="4"/>
      <c r="M1400" s="4"/>
      <c r="N1400" s="4"/>
      <c r="O1400" s="4"/>
      <c r="P1400" s="4"/>
      <c r="Q1400" s="4"/>
      <c r="R1400" s="4"/>
      <c r="S1400" s="4"/>
      <c r="T1400" s="4"/>
      <c r="U1400" s="4"/>
      <c r="V1400" s="4"/>
      <c r="W1400" s="4"/>
      <c r="X1400" s="4"/>
      <c r="Y1400" s="4"/>
      <c r="Z1400" s="4"/>
    </row>
    <row r="1401" spans="1:26" ht="15.75" customHeight="1" x14ac:dyDescent="0.2">
      <c r="A1401" s="1" t="s">
        <v>2791</v>
      </c>
      <c r="B1401" s="1" t="s">
        <v>2792</v>
      </c>
      <c r="C1401" s="5" t="str">
        <f ca="1">IFERROR(__xludf.DUMMYFUNCTION("REGEXEXTRACT($B1401, $E$2)"),"valdosta")</f>
        <v>valdosta</v>
      </c>
      <c r="E1401" s="4"/>
      <c r="F1401" s="4"/>
      <c r="G1401" s="4"/>
      <c r="H1401" s="4"/>
      <c r="I1401" s="4"/>
      <c r="J1401" s="4"/>
      <c r="K1401" s="4"/>
      <c r="L1401" s="4"/>
      <c r="M1401" s="4"/>
      <c r="N1401" s="4"/>
      <c r="O1401" s="4"/>
      <c r="P1401" s="4"/>
      <c r="Q1401" s="4"/>
      <c r="R1401" s="4"/>
      <c r="S1401" s="4"/>
      <c r="T1401" s="4"/>
      <c r="U1401" s="4"/>
      <c r="V1401" s="4"/>
      <c r="W1401" s="4"/>
      <c r="X1401" s="4"/>
      <c r="Y1401" s="4"/>
      <c r="Z1401" s="4"/>
    </row>
    <row r="1402" spans="1:26" ht="15.75" customHeight="1" x14ac:dyDescent="0.2">
      <c r="A1402" s="1" t="s">
        <v>2793</v>
      </c>
      <c r="B1402" s="1" t="s">
        <v>2794</v>
      </c>
      <c r="C1402" s="5" t="str">
        <f ca="1">IFERROR(__xludf.DUMMYFUNCTION("REGEXEXTRACT($B1402, $E$2)"),"vcsu")</f>
        <v>vcsu</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ht="15.75" customHeight="1" x14ac:dyDescent="0.2">
      <c r="A1403" s="1" t="s">
        <v>2795</v>
      </c>
      <c r="B1403" s="1" t="s">
        <v>2796</v>
      </c>
      <c r="C1403" s="5" t="str">
        <f ca="1">IFERROR(__xludf.DUMMYFUNCTION("REGEXEXTRACT($B1403, $E$2)"),"valpo")</f>
        <v>valpo</v>
      </c>
      <c r="E1403" s="4"/>
      <c r="F1403" s="4"/>
      <c r="G1403" s="4"/>
      <c r="H1403" s="4"/>
      <c r="I1403" s="4"/>
      <c r="J1403" s="4"/>
      <c r="K1403" s="4"/>
      <c r="L1403" s="4"/>
      <c r="M1403" s="4"/>
      <c r="N1403" s="4"/>
      <c r="O1403" s="4"/>
      <c r="P1403" s="4"/>
      <c r="Q1403" s="4"/>
      <c r="R1403" s="4"/>
      <c r="S1403" s="4"/>
      <c r="T1403" s="4"/>
      <c r="U1403" s="4"/>
      <c r="V1403" s="4"/>
      <c r="W1403" s="4"/>
      <c r="X1403" s="4"/>
      <c r="Y1403" s="4"/>
      <c r="Z1403" s="4"/>
    </row>
    <row r="1404" spans="1:26" ht="15.75" customHeight="1" x14ac:dyDescent="0.2">
      <c r="A1404" s="1" t="s">
        <v>2797</v>
      </c>
      <c r="B1404" s="1" t="s">
        <v>2798</v>
      </c>
      <c r="C1404" s="5" t="str">
        <f ca="1">IFERROR(__xludf.DUMMYFUNCTION("REGEXEXTRACT($B1404, $E$2)"),"vanderbilt")</f>
        <v>vanderbilt</v>
      </c>
      <c r="E1404" s="4"/>
      <c r="F1404" s="4"/>
      <c r="G1404" s="4"/>
      <c r="H1404" s="4"/>
      <c r="I1404" s="4"/>
      <c r="J1404" s="4"/>
      <c r="K1404" s="4"/>
      <c r="L1404" s="4"/>
      <c r="M1404" s="4"/>
      <c r="N1404" s="4"/>
      <c r="O1404" s="4"/>
      <c r="P1404" s="4"/>
      <c r="Q1404" s="4"/>
      <c r="R1404" s="4"/>
      <c r="S1404" s="4"/>
      <c r="T1404" s="4"/>
      <c r="U1404" s="4"/>
      <c r="V1404" s="4"/>
      <c r="W1404" s="4"/>
      <c r="X1404" s="4"/>
      <c r="Y1404" s="4"/>
      <c r="Z1404" s="4"/>
    </row>
    <row r="1405" spans="1:26" ht="15.75" customHeight="1" x14ac:dyDescent="0.2">
      <c r="A1405" s="1" t="s">
        <v>2799</v>
      </c>
      <c r="B1405" s="1" t="s">
        <v>2800</v>
      </c>
      <c r="C1405" s="5" t="str">
        <f ca="1">IFERROR(__xludf.DUMMYFUNCTION("REGEXEXTRACT($B1405, $E$2)"),"vandercook")</f>
        <v>vandercook</v>
      </c>
      <c r="E1405" s="4"/>
      <c r="F1405" s="4"/>
      <c r="G1405" s="4"/>
      <c r="H1405" s="4"/>
      <c r="I1405" s="4"/>
      <c r="J1405" s="4"/>
      <c r="K1405" s="4"/>
      <c r="L1405" s="4"/>
      <c r="M1405" s="4"/>
      <c r="N1405" s="4"/>
      <c r="O1405" s="4"/>
      <c r="P1405" s="4"/>
      <c r="Q1405" s="4"/>
      <c r="R1405" s="4"/>
      <c r="S1405" s="4"/>
      <c r="T1405" s="4"/>
      <c r="U1405" s="4"/>
      <c r="V1405" s="4"/>
      <c r="W1405" s="4"/>
      <c r="X1405" s="4"/>
      <c r="Y1405" s="4"/>
      <c r="Z1405" s="4"/>
    </row>
    <row r="1406" spans="1:26" ht="15.75" customHeight="1" x14ac:dyDescent="0.2">
      <c r="A1406" s="1" t="s">
        <v>2801</v>
      </c>
      <c r="B1406" s="1" t="s">
        <v>2802</v>
      </c>
      <c r="C1406" s="5" t="str">
        <f ca="1">IFERROR(__xludf.DUMMYFUNCTION("REGEXEXTRACT($B1406, $E$2)"),"vanguard")</f>
        <v>vanguard</v>
      </c>
      <c r="E1406" s="4"/>
      <c r="F1406" s="4"/>
      <c r="G1406" s="4"/>
      <c r="H1406" s="4"/>
      <c r="I1406" s="4"/>
      <c r="J1406" s="4"/>
      <c r="K1406" s="4"/>
      <c r="L1406" s="4"/>
      <c r="M1406" s="4"/>
      <c r="N1406" s="4"/>
      <c r="O1406" s="4"/>
      <c r="P1406" s="4"/>
      <c r="Q1406" s="4"/>
      <c r="R1406" s="4"/>
      <c r="S1406" s="4"/>
      <c r="T1406" s="4"/>
      <c r="U1406" s="4"/>
      <c r="V1406" s="4"/>
      <c r="W1406" s="4"/>
      <c r="X1406" s="4"/>
      <c r="Y1406" s="4"/>
      <c r="Z1406" s="4"/>
    </row>
    <row r="1407" spans="1:26" ht="15.75" customHeight="1" x14ac:dyDescent="0.2">
      <c r="A1407" s="1" t="s">
        <v>2803</v>
      </c>
      <c r="B1407" s="1" t="s">
        <v>2804</v>
      </c>
      <c r="C1407" s="5" t="str">
        <f ca="1">IFERROR(__xludf.DUMMYFUNCTION("REGEXEXTRACT($B1407, $E$2)"),"vassar")</f>
        <v>vassar</v>
      </c>
      <c r="E1407" s="4"/>
      <c r="F1407" s="4"/>
      <c r="G1407" s="4"/>
      <c r="H1407" s="4"/>
      <c r="I1407" s="4"/>
      <c r="J1407" s="4"/>
      <c r="K1407" s="4"/>
      <c r="L1407" s="4"/>
      <c r="M1407" s="4"/>
      <c r="N1407" s="4"/>
      <c r="O1407" s="4"/>
      <c r="P1407" s="4"/>
      <c r="Q1407" s="4"/>
      <c r="R1407" s="4"/>
      <c r="S1407" s="4"/>
      <c r="T1407" s="4"/>
      <c r="U1407" s="4"/>
      <c r="V1407" s="4"/>
      <c r="W1407" s="4"/>
      <c r="X1407" s="4"/>
      <c r="Y1407" s="4"/>
      <c r="Z1407" s="4"/>
    </row>
    <row r="1408" spans="1:26" ht="15.75" customHeight="1" x14ac:dyDescent="0.2">
      <c r="A1408" s="1" t="s">
        <v>2805</v>
      </c>
      <c r="B1408" s="1" t="s">
        <v>2806</v>
      </c>
      <c r="C1408" s="5" t="str">
        <f ca="1">IFERROR(__xludf.DUMMYFUNCTION("REGEXEXTRACT($B1408, $E$2)"),"vaughn")</f>
        <v>vaughn</v>
      </c>
      <c r="E1408" s="4"/>
      <c r="F1408" s="4"/>
      <c r="G1408" s="4"/>
      <c r="H1408" s="4"/>
      <c r="I1408" s="4"/>
      <c r="J1408" s="4"/>
      <c r="K1408" s="4"/>
      <c r="L1408" s="4"/>
      <c r="M1408" s="4"/>
      <c r="N1408" s="4"/>
      <c r="O1408" s="4"/>
      <c r="P1408" s="4"/>
      <c r="Q1408" s="4"/>
      <c r="R1408" s="4"/>
      <c r="S1408" s="4"/>
      <c r="T1408" s="4"/>
      <c r="U1408" s="4"/>
      <c r="V1408" s="4"/>
      <c r="W1408" s="4"/>
      <c r="X1408" s="4"/>
      <c r="Y1408" s="4"/>
      <c r="Z1408" s="4"/>
    </row>
    <row r="1409" spans="1:26" ht="15.75" customHeight="1" x14ac:dyDescent="0.2">
      <c r="A1409" s="1" t="s">
        <v>2807</v>
      </c>
      <c r="B1409" s="1" t="s">
        <v>2808</v>
      </c>
      <c r="C1409" s="5" t="str">
        <f ca="1">IFERROR(__xludf.DUMMYFUNCTION("REGEXEXTRACT($B1409, $E$2)"),"vtc")</f>
        <v>vtc</v>
      </c>
      <c r="E1409" s="4"/>
      <c r="F1409" s="4"/>
      <c r="G1409" s="4"/>
      <c r="H1409" s="4"/>
      <c r="I1409" s="4"/>
      <c r="J1409" s="4"/>
      <c r="K1409" s="4"/>
      <c r="L1409" s="4"/>
      <c r="M1409" s="4"/>
      <c r="N1409" s="4"/>
      <c r="O1409" s="4"/>
      <c r="P1409" s="4"/>
      <c r="Q1409" s="4"/>
      <c r="R1409" s="4"/>
      <c r="S1409" s="4"/>
      <c r="T1409" s="4"/>
      <c r="U1409" s="4"/>
      <c r="V1409" s="4"/>
      <c r="W1409" s="4"/>
      <c r="X1409" s="4"/>
      <c r="Y1409" s="4"/>
      <c r="Z1409" s="4"/>
    </row>
    <row r="1410" spans="1:26" ht="15.75" customHeight="1" x14ac:dyDescent="0.2">
      <c r="A1410" s="1" t="s">
        <v>2809</v>
      </c>
      <c r="B1410" s="1" t="s">
        <v>2810</v>
      </c>
      <c r="C1410" s="5" t="str">
        <f ca="1">IFERROR(__xludf.DUMMYFUNCTION("REGEXEXTRACT($B1410, $E$2)"),"villanova")</f>
        <v>villanova</v>
      </c>
      <c r="E1410" s="4"/>
      <c r="F1410" s="4"/>
      <c r="G1410" s="4"/>
      <c r="H1410" s="4"/>
      <c r="I1410" s="4"/>
      <c r="J1410" s="4"/>
      <c r="K1410" s="4"/>
      <c r="L1410" s="4"/>
      <c r="M1410" s="4"/>
      <c r="N1410" s="4"/>
      <c r="O1410" s="4"/>
      <c r="P1410" s="4"/>
      <c r="Q1410" s="4"/>
      <c r="R1410" s="4"/>
      <c r="S1410" s="4"/>
      <c r="T1410" s="4"/>
      <c r="U1410" s="4"/>
      <c r="V1410" s="4"/>
      <c r="W1410" s="4"/>
      <c r="X1410" s="4"/>
      <c r="Y1410" s="4"/>
      <c r="Z1410" s="4"/>
    </row>
    <row r="1411" spans="1:26" ht="15.75" customHeight="1" x14ac:dyDescent="0.2">
      <c r="A1411" s="1" t="s">
        <v>2811</v>
      </c>
      <c r="B1411" s="1" t="s">
        <v>2812</v>
      </c>
      <c r="C1411" s="5" t="str">
        <f ca="1">IFERROR(__xludf.DUMMYFUNCTION("REGEXEXTRACT($B1411, $E$2)"),"vcu")</f>
        <v>vcu</v>
      </c>
      <c r="E1411" s="4"/>
      <c r="F1411" s="4"/>
      <c r="G1411" s="4"/>
      <c r="H1411" s="4"/>
      <c r="I1411" s="4"/>
      <c r="J1411" s="4"/>
      <c r="K1411" s="4"/>
      <c r="L1411" s="4"/>
      <c r="M1411" s="4"/>
      <c r="N1411" s="4"/>
      <c r="O1411" s="4"/>
      <c r="P1411" s="4"/>
      <c r="Q1411" s="4"/>
      <c r="R1411" s="4"/>
      <c r="S1411" s="4"/>
      <c r="T1411" s="4"/>
      <c r="U1411" s="4"/>
      <c r="V1411" s="4"/>
      <c r="W1411" s="4"/>
      <c r="X1411" s="4"/>
      <c r="Y1411" s="4"/>
      <c r="Z1411" s="4"/>
    </row>
    <row r="1412" spans="1:26" ht="15.75" customHeight="1" x14ac:dyDescent="0.2">
      <c r="A1412" s="1" t="s">
        <v>2813</v>
      </c>
      <c r="B1412" s="1" t="s">
        <v>2814</v>
      </c>
      <c r="C1412" s="5" t="str">
        <f ca="1">IFERROR(__xludf.DUMMYFUNCTION("REGEXEXTRACT($B1412, $E$2)"),"vmi")</f>
        <v>vmi</v>
      </c>
      <c r="E1412" s="4"/>
      <c r="F1412" s="4"/>
      <c r="G1412" s="4"/>
      <c r="H1412" s="4"/>
      <c r="I1412" s="4"/>
      <c r="J1412" s="4"/>
      <c r="K1412" s="4"/>
      <c r="L1412" s="4"/>
      <c r="M1412" s="4"/>
      <c r="N1412" s="4"/>
      <c r="O1412" s="4"/>
      <c r="P1412" s="4"/>
      <c r="Q1412" s="4"/>
      <c r="R1412" s="4"/>
      <c r="S1412" s="4"/>
      <c r="T1412" s="4"/>
      <c r="U1412" s="4"/>
      <c r="V1412" s="4"/>
      <c r="W1412" s="4"/>
      <c r="X1412" s="4"/>
      <c r="Y1412" s="4"/>
      <c r="Z1412" s="4"/>
    </row>
    <row r="1413" spans="1:26" ht="15.75" customHeight="1" x14ac:dyDescent="0.2">
      <c r="A1413" s="1" t="s">
        <v>2815</v>
      </c>
      <c r="B1413" s="1" t="s">
        <v>2816</v>
      </c>
      <c r="C1413" s="5" t="str">
        <f ca="1">IFERROR(__xludf.DUMMYFUNCTION("REGEXEXTRACT($B1413, $E$2)"),"vt")</f>
        <v>vt</v>
      </c>
      <c r="E1413" s="4"/>
      <c r="F1413" s="4"/>
      <c r="G1413" s="4"/>
      <c r="H1413" s="4"/>
      <c r="I1413" s="4"/>
      <c r="J1413" s="4"/>
      <c r="K1413" s="4"/>
      <c r="L1413" s="4"/>
      <c r="M1413" s="4"/>
      <c r="N1413" s="4"/>
      <c r="O1413" s="4"/>
      <c r="P1413" s="4"/>
      <c r="Q1413" s="4"/>
      <c r="R1413" s="4"/>
      <c r="S1413" s="4"/>
      <c r="T1413" s="4"/>
      <c r="U1413" s="4"/>
      <c r="V1413" s="4"/>
      <c r="W1413" s="4"/>
      <c r="X1413" s="4"/>
      <c r="Y1413" s="4"/>
      <c r="Z1413" s="4"/>
    </row>
    <row r="1414" spans="1:26" ht="15.75" customHeight="1" x14ac:dyDescent="0.2">
      <c r="A1414" s="1" t="s">
        <v>2817</v>
      </c>
      <c r="B1414" s="1" t="s">
        <v>2818</v>
      </c>
      <c r="C1414" s="5" t="str">
        <f ca="1">IFERROR(__xludf.DUMMYFUNCTION("REGEXEXTRACT($B1414, $E$2)"),"vsu")</f>
        <v>vsu</v>
      </c>
      <c r="E1414" s="4"/>
      <c r="F1414" s="4"/>
      <c r="G1414" s="4"/>
      <c r="H1414" s="4"/>
      <c r="I1414" s="4"/>
      <c r="J1414" s="4"/>
      <c r="K1414" s="4"/>
      <c r="L1414" s="4"/>
      <c r="M1414" s="4"/>
      <c r="N1414" s="4"/>
      <c r="O1414" s="4"/>
      <c r="P1414" s="4"/>
      <c r="Q1414" s="4"/>
      <c r="R1414" s="4"/>
      <c r="S1414" s="4"/>
      <c r="T1414" s="4"/>
      <c r="U1414" s="4"/>
      <c r="V1414" s="4"/>
      <c r="W1414" s="4"/>
      <c r="X1414" s="4"/>
      <c r="Y1414" s="4"/>
      <c r="Z1414" s="4"/>
    </row>
    <row r="1415" spans="1:26" ht="15.75" customHeight="1" x14ac:dyDescent="0.2">
      <c r="A1415" s="1" t="s">
        <v>2819</v>
      </c>
      <c r="B1415" s="1" t="s">
        <v>2820</v>
      </c>
      <c r="C1415" s="5" t="str">
        <f ca="1">IFERROR(__xludf.DUMMYFUNCTION("REGEXEXTRACT($B1415, $E$2)"),"vuu")</f>
        <v>vuu</v>
      </c>
      <c r="E1415" s="4"/>
      <c r="F1415" s="4"/>
      <c r="G1415" s="4"/>
      <c r="H1415" s="4"/>
      <c r="I1415" s="4"/>
      <c r="J1415" s="4"/>
      <c r="K1415" s="4"/>
      <c r="L1415" s="4"/>
      <c r="M1415" s="4"/>
      <c r="N1415" s="4"/>
      <c r="O1415" s="4"/>
      <c r="P1415" s="4"/>
      <c r="Q1415" s="4"/>
      <c r="R1415" s="4"/>
      <c r="S1415" s="4"/>
      <c r="T1415" s="4"/>
      <c r="U1415" s="4"/>
      <c r="V1415" s="4"/>
      <c r="W1415" s="4"/>
      <c r="X1415" s="4"/>
      <c r="Y1415" s="4"/>
      <c r="Z1415" s="4"/>
    </row>
    <row r="1416" spans="1:26" ht="15.75" customHeight="1" x14ac:dyDescent="0.2">
      <c r="A1416" s="1" t="s">
        <v>2821</v>
      </c>
      <c r="B1416" s="1" t="s">
        <v>2822</v>
      </c>
      <c r="C1416" s="5" t="str">
        <f ca="1">IFERROR(__xludf.DUMMYFUNCTION("REGEXEXTRACT($B1416, $E$2)"),"vul")</f>
        <v>vul</v>
      </c>
      <c r="E1416" s="4"/>
      <c r="F1416" s="4"/>
      <c r="G1416" s="4"/>
      <c r="H1416" s="4"/>
      <c r="I1416" s="4"/>
      <c r="J1416" s="4"/>
      <c r="K1416" s="4"/>
      <c r="L1416" s="4"/>
      <c r="M1416" s="4"/>
      <c r="N1416" s="4"/>
      <c r="O1416" s="4"/>
      <c r="P1416" s="4"/>
      <c r="Q1416" s="4"/>
      <c r="R1416" s="4"/>
      <c r="S1416" s="4"/>
      <c r="T1416" s="4"/>
      <c r="U1416" s="4"/>
      <c r="V1416" s="4"/>
      <c r="W1416" s="4"/>
      <c r="X1416" s="4"/>
      <c r="Y1416" s="4"/>
      <c r="Z1416" s="4"/>
    </row>
    <row r="1417" spans="1:26" ht="15.75" customHeight="1" x14ac:dyDescent="0.2">
      <c r="A1417" s="1" t="s">
        <v>2823</v>
      </c>
      <c r="B1417" s="1" t="s">
        <v>2824</v>
      </c>
      <c r="C1417" s="5" t="str">
        <f ca="1">IFERROR(__xludf.DUMMYFUNCTION("REGEXEXTRACT($B1417, $E$2)"),"vwu")</f>
        <v>vwu</v>
      </c>
      <c r="E1417" s="4"/>
      <c r="F1417" s="4"/>
      <c r="G1417" s="4"/>
      <c r="H1417" s="4"/>
      <c r="I1417" s="4"/>
      <c r="J1417" s="4"/>
      <c r="K1417" s="4"/>
      <c r="L1417" s="4"/>
      <c r="M1417" s="4"/>
      <c r="N1417" s="4"/>
      <c r="O1417" s="4"/>
      <c r="P1417" s="4"/>
      <c r="Q1417" s="4"/>
      <c r="R1417" s="4"/>
      <c r="S1417" s="4"/>
      <c r="T1417" s="4"/>
      <c r="U1417" s="4"/>
      <c r="V1417" s="4"/>
      <c r="W1417" s="4"/>
      <c r="X1417" s="4"/>
      <c r="Y1417" s="4"/>
      <c r="Z1417" s="4"/>
    </row>
    <row r="1418" spans="1:26" ht="15.75" customHeight="1" x14ac:dyDescent="0.2">
      <c r="A1418" s="1" t="s">
        <v>2825</v>
      </c>
      <c r="B1418" s="1" t="s">
        <v>2826</v>
      </c>
      <c r="C1418" s="5" t="str">
        <f ca="1">IFERROR(__xludf.DUMMYFUNCTION("REGEXEXTRACT($B1418, $E$2)"),"viterbo")</f>
        <v>viterbo</v>
      </c>
      <c r="E1418" s="4"/>
      <c r="F1418" s="4"/>
      <c r="G1418" s="4"/>
      <c r="H1418" s="4"/>
      <c r="I1418" s="4"/>
      <c r="J1418" s="4"/>
      <c r="K1418" s="4"/>
      <c r="L1418" s="4"/>
      <c r="M1418" s="4"/>
      <c r="N1418" s="4"/>
      <c r="O1418" s="4"/>
      <c r="P1418" s="4"/>
      <c r="Q1418" s="4"/>
      <c r="R1418" s="4"/>
      <c r="S1418" s="4"/>
      <c r="T1418" s="4"/>
      <c r="U1418" s="4"/>
      <c r="V1418" s="4"/>
      <c r="W1418" s="4"/>
      <c r="X1418" s="4"/>
      <c r="Y1418" s="4"/>
      <c r="Z1418" s="4"/>
    </row>
    <row r="1419" spans="1:26" ht="15.75" customHeight="1" x14ac:dyDescent="0.2">
      <c r="A1419" s="1" t="s">
        <v>2827</v>
      </c>
      <c r="B1419" s="1" t="s">
        <v>2828</v>
      </c>
      <c r="C1419" s="5" t="str">
        <f ca="1">IFERROR(__xludf.DUMMYFUNCTION("REGEXEXTRACT($B1419, $E$2)"),"voorhees")</f>
        <v>voorhees</v>
      </c>
      <c r="E1419" s="4"/>
      <c r="F1419" s="4"/>
      <c r="G1419" s="4"/>
      <c r="H1419" s="4"/>
      <c r="I1419" s="4"/>
      <c r="J1419" s="4"/>
      <c r="K1419" s="4"/>
      <c r="L1419" s="4"/>
      <c r="M1419" s="4"/>
      <c r="N1419" s="4"/>
      <c r="O1419" s="4"/>
      <c r="P1419" s="4"/>
      <c r="Q1419" s="4"/>
      <c r="R1419" s="4"/>
      <c r="S1419" s="4"/>
      <c r="T1419" s="4"/>
      <c r="U1419" s="4"/>
      <c r="V1419" s="4"/>
      <c r="W1419" s="4"/>
      <c r="X1419" s="4"/>
      <c r="Y1419" s="4"/>
      <c r="Z1419" s="4"/>
    </row>
    <row r="1420" spans="1:26" ht="15.75" customHeight="1" x14ac:dyDescent="0.2">
      <c r="A1420" s="1" t="s">
        <v>2829</v>
      </c>
      <c r="B1420" s="1" t="s">
        <v>2830</v>
      </c>
      <c r="C1420" s="5" t="str">
        <f ca="1">IFERROR(__xludf.DUMMYFUNCTION("REGEXEXTRACT($B1420, $E$2)"),"wabash")</f>
        <v>wabash</v>
      </c>
      <c r="E1420" s="4"/>
      <c r="F1420" s="4"/>
      <c r="G1420" s="4"/>
      <c r="H1420" s="4"/>
      <c r="I1420" s="4"/>
      <c r="J1420" s="4"/>
      <c r="K1420" s="4"/>
      <c r="L1420" s="4"/>
      <c r="M1420" s="4"/>
      <c r="N1420" s="4"/>
      <c r="O1420" s="4"/>
      <c r="P1420" s="4"/>
      <c r="Q1420" s="4"/>
      <c r="R1420" s="4"/>
      <c r="S1420" s="4"/>
      <c r="T1420" s="4"/>
      <c r="U1420" s="4"/>
      <c r="V1420" s="4"/>
      <c r="W1420" s="4"/>
      <c r="X1420" s="4"/>
      <c r="Y1420" s="4"/>
      <c r="Z1420" s="4"/>
    </row>
    <row r="1421" spans="1:26" ht="15.75" customHeight="1" x14ac:dyDescent="0.2">
      <c r="A1421" s="1" t="s">
        <v>2831</v>
      </c>
      <c r="B1421" s="1" t="s">
        <v>2832</v>
      </c>
      <c r="C1421" s="5" t="str">
        <f ca="1">IFERROR(__xludf.DUMMYFUNCTION("REGEXEXTRACT($B1421, $E$2)"),"wagner")</f>
        <v>wagner</v>
      </c>
      <c r="E1421" s="4"/>
      <c r="F1421" s="4"/>
      <c r="G1421" s="4"/>
      <c r="H1421" s="4"/>
      <c r="I1421" s="4"/>
      <c r="J1421" s="4"/>
      <c r="K1421" s="4"/>
      <c r="L1421" s="4"/>
      <c r="M1421" s="4"/>
      <c r="N1421" s="4"/>
      <c r="O1421" s="4"/>
      <c r="P1421" s="4"/>
      <c r="Q1421" s="4"/>
      <c r="R1421" s="4"/>
      <c r="S1421" s="4"/>
      <c r="T1421" s="4"/>
      <c r="U1421" s="4"/>
      <c r="V1421" s="4"/>
      <c r="W1421" s="4"/>
      <c r="X1421" s="4"/>
      <c r="Y1421" s="4"/>
      <c r="Z1421" s="4"/>
    </row>
    <row r="1422" spans="1:26" ht="15.75" customHeight="1" x14ac:dyDescent="0.2">
      <c r="A1422" s="1" t="s">
        <v>2833</v>
      </c>
      <c r="B1422" s="1" t="s">
        <v>2834</v>
      </c>
      <c r="C1422" s="5" t="str">
        <f ca="1">IFERROR(__xludf.DUMMYFUNCTION("REGEXEXTRACT($B1422, $E$2)"),"wfu")</f>
        <v>wfu</v>
      </c>
      <c r="E1422" s="4"/>
      <c r="F1422" s="4"/>
      <c r="G1422" s="4"/>
      <c r="H1422" s="4"/>
      <c r="I1422" s="4"/>
      <c r="J1422" s="4"/>
      <c r="K1422" s="4"/>
      <c r="L1422" s="4"/>
      <c r="M1422" s="4"/>
      <c r="N1422" s="4"/>
      <c r="O1422" s="4"/>
      <c r="P1422" s="4"/>
      <c r="Q1422" s="4"/>
      <c r="R1422" s="4"/>
      <c r="S1422" s="4"/>
      <c r="T1422" s="4"/>
      <c r="U1422" s="4"/>
      <c r="V1422" s="4"/>
      <c r="W1422" s="4"/>
      <c r="X1422" s="4"/>
      <c r="Y1422" s="4"/>
      <c r="Z1422" s="4"/>
    </row>
    <row r="1423" spans="1:26" ht="15.75" customHeight="1" x14ac:dyDescent="0.2">
      <c r="A1423" s="1" t="s">
        <v>2835</v>
      </c>
      <c r="B1423" s="1" t="s">
        <v>2836</v>
      </c>
      <c r="C1423" s="5" t="str">
        <f ca="1">IFERROR(__xludf.DUMMYFUNCTION("REGEXEXTRACT($B1423, $E$2)"),"waldorf")</f>
        <v>waldorf</v>
      </c>
      <c r="E1423" s="4"/>
      <c r="F1423" s="4"/>
      <c r="G1423" s="4"/>
      <c r="H1423" s="4"/>
      <c r="I1423" s="4"/>
      <c r="J1423" s="4"/>
      <c r="K1423" s="4"/>
      <c r="L1423" s="4"/>
      <c r="M1423" s="4"/>
      <c r="N1423" s="4"/>
      <c r="O1423" s="4"/>
      <c r="P1423" s="4"/>
      <c r="Q1423" s="4"/>
      <c r="R1423" s="4"/>
      <c r="S1423" s="4"/>
      <c r="T1423" s="4"/>
      <c r="U1423" s="4"/>
      <c r="V1423" s="4"/>
      <c r="W1423" s="4"/>
      <c r="X1423" s="4"/>
      <c r="Y1423" s="4"/>
      <c r="Z1423" s="4"/>
    </row>
    <row r="1424" spans="1:26" ht="15.75" customHeight="1" x14ac:dyDescent="0.2">
      <c r="A1424" s="1" t="s">
        <v>2837</v>
      </c>
      <c r="B1424" s="1" t="s">
        <v>2838</v>
      </c>
      <c r="C1424" s="5" t="str">
        <f ca="1">IFERROR(__xludf.DUMMYFUNCTION("REGEXEXTRACT($B1424, $E$2)"),"wallawalla")</f>
        <v>wallawalla</v>
      </c>
      <c r="E1424" s="4"/>
      <c r="F1424" s="4"/>
      <c r="G1424" s="4"/>
      <c r="H1424" s="4"/>
      <c r="I1424" s="4"/>
      <c r="J1424" s="4"/>
      <c r="K1424" s="4"/>
      <c r="L1424" s="4"/>
      <c r="M1424" s="4"/>
      <c r="N1424" s="4"/>
      <c r="O1424" s="4"/>
      <c r="P1424" s="4"/>
      <c r="Q1424" s="4"/>
      <c r="R1424" s="4"/>
      <c r="S1424" s="4"/>
      <c r="T1424" s="4"/>
      <c r="U1424" s="4"/>
      <c r="V1424" s="4"/>
      <c r="W1424" s="4"/>
      <c r="X1424" s="4"/>
      <c r="Y1424" s="4"/>
      <c r="Z1424" s="4"/>
    </row>
    <row r="1425" spans="1:26" ht="15.75" customHeight="1" x14ac:dyDescent="0.2">
      <c r="A1425" s="1" t="s">
        <v>2839</v>
      </c>
      <c r="B1425" s="1" t="s">
        <v>2840</v>
      </c>
      <c r="C1425" s="5" t="str">
        <f ca="1">IFERROR(__xludf.DUMMYFUNCTION("REGEXEXTRACT($B1425, $E$2)"),"walsh")</f>
        <v>walsh</v>
      </c>
      <c r="E1425" s="4"/>
      <c r="F1425" s="4"/>
      <c r="G1425" s="4"/>
      <c r="H1425" s="4"/>
      <c r="I1425" s="4"/>
      <c r="J1425" s="4"/>
      <c r="K1425" s="4"/>
      <c r="L1425" s="4"/>
      <c r="M1425" s="4"/>
      <c r="N1425" s="4"/>
      <c r="O1425" s="4"/>
      <c r="P1425" s="4"/>
      <c r="Q1425" s="4"/>
      <c r="R1425" s="4"/>
      <c r="S1425" s="4"/>
      <c r="T1425" s="4"/>
      <c r="U1425" s="4"/>
      <c r="V1425" s="4"/>
      <c r="W1425" s="4"/>
      <c r="X1425" s="4"/>
      <c r="Y1425" s="4"/>
      <c r="Z1425" s="4"/>
    </row>
    <row r="1426" spans="1:26" ht="15.75" customHeight="1" x14ac:dyDescent="0.2">
      <c r="A1426" s="1" t="s">
        <v>2841</v>
      </c>
      <c r="B1426" s="1" t="s">
        <v>2842</v>
      </c>
      <c r="C1426" s="5" t="str">
        <f ca="1">IFERROR(__xludf.DUMMYFUNCTION("REGEXEXTRACT($B1426, $E$2)"),"warnerpacific")</f>
        <v>warnerpacific</v>
      </c>
      <c r="E1426" s="4"/>
      <c r="F1426" s="4"/>
      <c r="G1426" s="4"/>
      <c r="H1426" s="4"/>
      <c r="I1426" s="4"/>
      <c r="J1426" s="4"/>
      <c r="K1426" s="4"/>
      <c r="L1426" s="4"/>
      <c r="M1426" s="4"/>
      <c r="N1426" s="4"/>
      <c r="O1426" s="4"/>
      <c r="P1426" s="4"/>
      <c r="Q1426" s="4"/>
      <c r="R1426" s="4"/>
      <c r="S1426" s="4"/>
      <c r="T1426" s="4"/>
      <c r="U1426" s="4"/>
      <c r="V1426" s="4"/>
      <c r="W1426" s="4"/>
      <c r="X1426" s="4"/>
      <c r="Y1426" s="4"/>
      <c r="Z1426" s="4"/>
    </row>
    <row r="1427" spans="1:26" ht="15.75" customHeight="1" x14ac:dyDescent="0.2">
      <c r="A1427" s="1" t="s">
        <v>2843</v>
      </c>
      <c r="B1427" s="1" t="s">
        <v>2844</v>
      </c>
      <c r="C1427" s="5" t="str">
        <f ca="1">IFERROR(__xludf.DUMMYFUNCTION("REGEXEXTRACT($B1427, $E$2)"),"warner")</f>
        <v>warner</v>
      </c>
      <c r="E1427" s="4"/>
      <c r="F1427" s="4"/>
      <c r="G1427" s="4"/>
      <c r="H1427" s="4"/>
      <c r="I1427" s="4"/>
      <c r="J1427" s="4"/>
      <c r="K1427" s="4"/>
      <c r="L1427" s="4"/>
      <c r="M1427" s="4"/>
      <c r="N1427" s="4"/>
      <c r="O1427" s="4"/>
      <c r="P1427" s="4"/>
      <c r="Q1427" s="4"/>
      <c r="R1427" s="4"/>
      <c r="S1427" s="4"/>
      <c r="T1427" s="4"/>
      <c r="U1427" s="4"/>
      <c r="V1427" s="4"/>
      <c r="W1427" s="4"/>
      <c r="X1427" s="4"/>
      <c r="Y1427" s="4"/>
      <c r="Z1427" s="4"/>
    </row>
    <row r="1428" spans="1:26" ht="15.75" customHeight="1" x14ac:dyDescent="0.2">
      <c r="A1428" s="1" t="s">
        <v>2845</v>
      </c>
      <c r="B1428" s="1" t="s">
        <v>2846</v>
      </c>
      <c r="C1428" s="5" t="str">
        <f ca="1">IFERROR(__xludf.DUMMYFUNCTION("REGEXEXTRACT($B1428, $E$2)"),"warren-wilson")</f>
        <v>warren-wilson</v>
      </c>
      <c r="E1428" s="4"/>
      <c r="F1428" s="4"/>
      <c r="G1428" s="4"/>
      <c r="H1428" s="4"/>
      <c r="I1428" s="4"/>
      <c r="J1428" s="4"/>
      <c r="K1428" s="4"/>
      <c r="L1428" s="4"/>
      <c r="M1428" s="4"/>
      <c r="N1428" s="4"/>
      <c r="O1428" s="4"/>
      <c r="P1428" s="4"/>
      <c r="Q1428" s="4"/>
      <c r="R1428" s="4"/>
      <c r="S1428" s="4"/>
      <c r="T1428" s="4"/>
      <c r="U1428" s="4"/>
      <c r="V1428" s="4"/>
      <c r="W1428" s="4"/>
      <c r="X1428" s="4"/>
      <c r="Y1428" s="4"/>
      <c r="Z1428" s="4"/>
    </row>
    <row r="1429" spans="1:26" ht="15.75" customHeight="1" x14ac:dyDescent="0.2">
      <c r="A1429" s="1" t="s">
        <v>2847</v>
      </c>
      <c r="B1429" s="1" t="s">
        <v>2848</v>
      </c>
      <c r="C1429" s="5" t="str">
        <f ca="1">IFERROR(__xludf.DUMMYFUNCTION("REGEXEXTRACT($B1429, $E$2)"),"wartburg")</f>
        <v>wartburg</v>
      </c>
      <c r="E1429" s="4"/>
      <c r="F1429" s="4"/>
      <c r="G1429" s="4"/>
      <c r="H1429" s="4"/>
      <c r="I1429" s="4"/>
      <c r="J1429" s="4"/>
      <c r="K1429" s="4"/>
      <c r="L1429" s="4"/>
      <c r="M1429" s="4"/>
      <c r="N1429" s="4"/>
      <c r="O1429" s="4"/>
      <c r="P1429" s="4"/>
      <c r="Q1429" s="4"/>
      <c r="R1429" s="4"/>
      <c r="S1429" s="4"/>
      <c r="T1429" s="4"/>
      <c r="U1429" s="4"/>
      <c r="V1429" s="4"/>
      <c r="W1429" s="4"/>
      <c r="X1429" s="4"/>
      <c r="Y1429" s="4"/>
      <c r="Z1429" s="4"/>
    </row>
    <row r="1430" spans="1:26" ht="15.75" customHeight="1" x14ac:dyDescent="0.2">
      <c r="A1430" s="1" t="s">
        <v>2849</v>
      </c>
      <c r="B1430" s="1" t="s">
        <v>2850</v>
      </c>
      <c r="C1430" s="5" t="str">
        <f ca="1">IFERROR(__xludf.DUMMYFUNCTION("REGEXEXTRACT($B1430, $E$2)"),"washburn")</f>
        <v>washburn</v>
      </c>
      <c r="E1430" s="4"/>
      <c r="F1430" s="4"/>
      <c r="G1430" s="4"/>
      <c r="H1430" s="4"/>
      <c r="I1430" s="4"/>
      <c r="J1430" s="4"/>
      <c r="K1430" s="4"/>
      <c r="L1430" s="4"/>
      <c r="M1430" s="4"/>
      <c r="N1430" s="4"/>
      <c r="O1430" s="4"/>
      <c r="P1430" s="4"/>
      <c r="Q1430" s="4"/>
      <c r="R1430" s="4"/>
      <c r="S1430" s="4"/>
      <c r="T1430" s="4"/>
      <c r="U1430" s="4"/>
      <c r="V1430" s="4"/>
      <c r="W1430" s="4"/>
      <c r="X1430" s="4"/>
      <c r="Y1430" s="4"/>
      <c r="Z1430" s="4"/>
    </row>
    <row r="1431" spans="1:26" ht="15.75" customHeight="1" x14ac:dyDescent="0.2">
      <c r="A1431" s="1" t="s">
        <v>2851</v>
      </c>
      <c r="B1431" s="1" t="s">
        <v>2852</v>
      </c>
      <c r="C1431" s="5" t="str">
        <f ca="1">IFERROR(__xludf.DUMMYFUNCTION("REGEXEXTRACT($B1431, $E$2)"),"wau")</f>
        <v>wau</v>
      </c>
      <c r="E1431" s="4"/>
      <c r="F1431" s="4"/>
      <c r="G1431" s="4"/>
      <c r="H1431" s="4"/>
      <c r="I1431" s="4"/>
      <c r="J1431" s="4"/>
      <c r="K1431" s="4"/>
      <c r="L1431" s="4"/>
      <c r="M1431" s="4"/>
      <c r="N1431" s="4"/>
      <c r="O1431" s="4"/>
      <c r="P1431" s="4"/>
      <c r="Q1431" s="4"/>
      <c r="R1431" s="4"/>
      <c r="S1431" s="4"/>
      <c r="T1431" s="4"/>
      <c r="U1431" s="4"/>
      <c r="V1431" s="4"/>
      <c r="W1431" s="4"/>
      <c r="X1431" s="4"/>
      <c r="Y1431" s="4"/>
      <c r="Z1431" s="4"/>
    </row>
    <row r="1432" spans="1:26" ht="15.75" customHeight="1" x14ac:dyDescent="0.2">
      <c r="A1432" s="1" t="s">
        <v>2853</v>
      </c>
      <c r="B1432" s="1" t="s">
        <v>2854</v>
      </c>
      <c r="C1432" s="5" t="str">
        <f ca="1">IFERROR(__xludf.DUMMYFUNCTION("REGEXEXTRACT($B1432, $E$2)"),"wlu")</f>
        <v>wlu</v>
      </c>
      <c r="E1432" s="4"/>
      <c r="F1432" s="4"/>
      <c r="G1432" s="4"/>
      <c r="H1432" s="4"/>
      <c r="I1432" s="4"/>
      <c r="J1432" s="4"/>
      <c r="K1432" s="4"/>
      <c r="L1432" s="4"/>
      <c r="M1432" s="4"/>
      <c r="N1432" s="4"/>
      <c r="O1432" s="4"/>
      <c r="P1432" s="4"/>
      <c r="Q1432" s="4"/>
      <c r="R1432" s="4"/>
      <c r="S1432" s="4"/>
      <c r="T1432" s="4"/>
      <c r="U1432" s="4"/>
      <c r="V1432" s="4"/>
      <c r="W1432" s="4"/>
      <c r="X1432" s="4"/>
      <c r="Y1432" s="4"/>
      <c r="Z1432" s="4"/>
    </row>
    <row r="1433" spans="1:26" ht="15.75" customHeight="1" x14ac:dyDescent="0.2">
      <c r="A1433" s="1" t="s">
        <v>2855</v>
      </c>
      <c r="B1433" s="1" t="s">
        <v>2856</v>
      </c>
      <c r="C1433" s="5" t="str">
        <f ca="1">IFERROR(__xludf.DUMMYFUNCTION("REGEXEXTRACT($B1433, $E$2)"),"washcoll")</f>
        <v>washcoll</v>
      </c>
      <c r="E1433" s="4"/>
      <c r="F1433" s="4"/>
      <c r="G1433" s="4"/>
      <c r="H1433" s="4"/>
      <c r="I1433" s="4"/>
      <c r="J1433" s="4"/>
      <c r="K1433" s="4"/>
      <c r="L1433" s="4"/>
      <c r="M1433" s="4"/>
      <c r="N1433" s="4"/>
      <c r="O1433" s="4"/>
      <c r="P1433" s="4"/>
      <c r="Q1433" s="4"/>
      <c r="R1433" s="4"/>
      <c r="S1433" s="4"/>
      <c r="T1433" s="4"/>
      <c r="U1433" s="4"/>
      <c r="V1433" s="4"/>
      <c r="W1433" s="4"/>
      <c r="X1433" s="4"/>
      <c r="Y1433" s="4"/>
      <c r="Z1433" s="4"/>
    </row>
    <row r="1434" spans="1:26" ht="15.75" customHeight="1" x14ac:dyDescent="0.2">
      <c r="A1434" s="1" t="s">
        <v>2857</v>
      </c>
      <c r="B1434" s="1" t="s">
        <v>2858</v>
      </c>
      <c r="C1434" s="5" t="str">
        <f ca="1">IFERROR(__xludf.DUMMYFUNCTION("REGEXEXTRACT($B1434, $E$2)"),"washjeff")</f>
        <v>washjeff</v>
      </c>
      <c r="E1434" s="4"/>
      <c r="F1434" s="4"/>
      <c r="G1434" s="4"/>
      <c r="H1434" s="4"/>
      <c r="I1434" s="4"/>
      <c r="J1434" s="4"/>
      <c r="K1434" s="4"/>
      <c r="L1434" s="4"/>
      <c r="M1434" s="4"/>
      <c r="N1434" s="4"/>
      <c r="O1434" s="4"/>
      <c r="P1434" s="4"/>
      <c r="Q1434" s="4"/>
      <c r="R1434" s="4"/>
      <c r="S1434" s="4"/>
      <c r="T1434" s="4"/>
      <c r="U1434" s="4"/>
      <c r="V1434" s="4"/>
      <c r="W1434" s="4"/>
      <c r="X1434" s="4"/>
      <c r="Y1434" s="4"/>
      <c r="Z1434" s="4"/>
    </row>
    <row r="1435" spans="1:26" ht="15.75" customHeight="1" x14ac:dyDescent="0.2">
      <c r="A1435" s="1" t="s">
        <v>2859</v>
      </c>
      <c r="B1435" s="1" t="s">
        <v>2860</v>
      </c>
      <c r="C1435" s="5" t="str">
        <f ca="1">IFERROR(__xludf.DUMMYFUNCTION("REGEXEXTRACT($B1435, $E$2)"),"wsu")</f>
        <v>wsu</v>
      </c>
      <c r="E1435" s="4"/>
      <c r="F1435" s="4"/>
      <c r="G1435" s="4"/>
      <c r="H1435" s="4"/>
      <c r="I1435" s="4"/>
      <c r="J1435" s="4"/>
      <c r="K1435" s="4"/>
      <c r="L1435" s="4"/>
      <c r="M1435" s="4"/>
      <c r="N1435" s="4"/>
      <c r="O1435" s="4"/>
      <c r="P1435" s="4"/>
      <c r="Q1435" s="4"/>
      <c r="R1435" s="4"/>
      <c r="S1435" s="4"/>
      <c r="T1435" s="4"/>
      <c r="U1435" s="4"/>
      <c r="V1435" s="4"/>
      <c r="W1435" s="4"/>
      <c r="X1435" s="4"/>
      <c r="Y1435" s="4"/>
      <c r="Z1435" s="4"/>
    </row>
    <row r="1436" spans="1:26" ht="15.75" customHeight="1" x14ac:dyDescent="0.2">
      <c r="A1436" s="1" t="s">
        <v>2861</v>
      </c>
      <c r="B1436" s="1" t="s">
        <v>2862</v>
      </c>
      <c r="C1436" s="5" t="str">
        <f ca="1">IFERROR(__xludf.DUMMYFUNCTION("REGEXEXTRACT($B1436, $E$2)"),"wustl")</f>
        <v>wustl</v>
      </c>
      <c r="E1436" s="4"/>
      <c r="F1436" s="4"/>
      <c r="G1436" s="4"/>
      <c r="H1436" s="4"/>
      <c r="I1436" s="4"/>
      <c r="J1436" s="4"/>
      <c r="K1436" s="4"/>
      <c r="L1436" s="4"/>
      <c r="M1436" s="4"/>
      <c r="N1436" s="4"/>
      <c r="O1436" s="4"/>
      <c r="P1436" s="4"/>
      <c r="Q1436" s="4"/>
      <c r="R1436" s="4"/>
      <c r="S1436" s="4"/>
      <c r="T1436" s="4"/>
      <c r="U1436" s="4"/>
      <c r="V1436" s="4"/>
      <c r="W1436" s="4"/>
      <c r="X1436" s="4"/>
      <c r="Y1436" s="4"/>
      <c r="Z1436" s="4"/>
    </row>
    <row r="1437" spans="1:26" ht="15.75" customHeight="1" x14ac:dyDescent="0.2">
      <c r="A1437" s="1" t="s">
        <v>2863</v>
      </c>
      <c r="B1437" s="1" t="s">
        <v>2864</v>
      </c>
      <c r="C1437" s="5" t="str">
        <f ca="1">IFERROR(__xludf.DUMMYFUNCTION("REGEXEXTRACT($B1437, $E$2)"),"watkins")</f>
        <v>watkins</v>
      </c>
      <c r="E1437" s="4"/>
      <c r="F1437" s="4"/>
      <c r="G1437" s="4"/>
      <c r="H1437" s="4"/>
      <c r="I1437" s="4"/>
      <c r="J1437" s="4"/>
      <c r="K1437" s="4"/>
      <c r="L1437" s="4"/>
      <c r="M1437" s="4"/>
      <c r="N1437" s="4"/>
      <c r="O1437" s="4"/>
      <c r="P1437" s="4"/>
      <c r="Q1437" s="4"/>
      <c r="R1437" s="4"/>
      <c r="S1437" s="4"/>
      <c r="T1437" s="4"/>
      <c r="U1437" s="4"/>
      <c r="V1437" s="4"/>
      <c r="W1437" s="4"/>
      <c r="X1437" s="4"/>
      <c r="Y1437" s="4"/>
      <c r="Z1437" s="4"/>
    </row>
    <row r="1438" spans="1:26" ht="15.75" customHeight="1" x14ac:dyDescent="0.2">
      <c r="A1438" s="1" t="s">
        <v>2865</v>
      </c>
      <c r="B1438" s="1" t="s">
        <v>2866</v>
      </c>
      <c r="C1438" s="5" t="str">
        <f ca="1">IFERROR(__xludf.DUMMYFUNCTION("REGEXEXTRACT($B1438, $E$2)"),"wbu")</f>
        <v>wbu</v>
      </c>
      <c r="E1438" s="4"/>
      <c r="F1438" s="4"/>
      <c r="G1438" s="4"/>
      <c r="H1438" s="4"/>
      <c r="I1438" s="4"/>
      <c r="J1438" s="4"/>
      <c r="K1438" s="4"/>
      <c r="L1438" s="4"/>
      <c r="M1438" s="4"/>
      <c r="N1438" s="4"/>
      <c r="O1438" s="4"/>
      <c r="P1438" s="4"/>
      <c r="Q1438" s="4"/>
      <c r="R1438" s="4"/>
      <c r="S1438" s="4"/>
      <c r="T1438" s="4"/>
      <c r="U1438" s="4"/>
      <c r="V1438" s="4"/>
      <c r="W1438" s="4"/>
      <c r="X1438" s="4"/>
      <c r="Y1438" s="4"/>
      <c r="Z1438" s="4"/>
    </row>
    <row r="1439" spans="1:26" ht="15.75" customHeight="1" x14ac:dyDescent="0.2">
      <c r="A1439" s="1" t="s">
        <v>2867</v>
      </c>
      <c r="B1439" s="1" t="s">
        <v>2868</v>
      </c>
      <c r="C1439" s="5" t="str">
        <f ca="1">IFERROR(__xludf.DUMMYFUNCTION("REGEXEXTRACT($B1439, $E$2)"),"wsc")</f>
        <v>wsc</v>
      </c>
      <c r="E1439" s="4"/>
      <c r="F1439" s="4"/>
      <c r="G1439" s="4"/>
      <c r="H1439" s="4"/>
      <c r="I1439" s="4"/>
      <c r="J1439" s="4"/>
      <c r="K1439" s="4"/>
      <c r="L1439" s="4"/>
      <c r="M1439" s="4"/>
      <c r="N1439" s="4"/>
      <c r="O1439" s="4"/>
      <c r="P1439" s="4"/>
      <c r="Q1439" s="4"/>
      <c r="R1439" s="4"/>
      <c r="S1439" s="4"/>
      <c r="T1439" s="4"/>
      <c r="U1439" s="4"/>
      <c r="V1439" s="4"/>
      <c r="W1439" s="4"/>
      <c r="X1439" s="4"/>
      <c r="Y1439" s="4"/>
      <c r="Z1439" s="4"/>
    </row>
    <row r="1440" spans="1:26" ht="15.75" customHeight="1" x14ac:dyDescent="0.2">
      <c r="A1440" s="1" t="s">
        <v>2869</v>
      </c>
      <c r="B1440" s="1" t="s">
        <v>2870</v>
      </c>
      <c r="C1440" s="5" t="str">
        <f ca="1">IFERROR(__xludf.DUMMYFUNCTION("REGEXEXTRACT($B1440, $E$2)"),"wayne")</f>
        <v>wayne</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ht="15.75" customHeight="1" x14ac:dyDescent="0.2">
      <c r="A1441" s="1" t="s">
        <v>2871</v>
      </c>
      <c r="B1441" s="1" t="s">
        <v>2872</v>
      </c>
      <c r="C1441" s="5" t="str">
        <f ca="1">IFERROR(__xludf.DUMMYFUNCTION("REGEXEXTRACT($B1441, $E$2)"),"waynesburg")</f>
        <v>waynesburg</v>
      </c>
      <c r="E1441" s="4"/>
      <c r="F1441" s="4"/>
      <c r="G1441" s="4"/>
      <c r="H1441" s="4"/>
      <c r="I1441" s="4"/>
      <c r="J1441" s="4"/>
      <c r="K1441" s="4"/>
      <c r="L1441" s="4"/>
      <c r="M1441" s="4"/>
      <c r="N1441" s="4"/>
      <c r="O1441" s="4"/>
      <c r="P1441" s="4"/>
      <c r="Q1441" s="4"/>
      <c r="R1441" s="4"/>
      <c r="S1441" s="4"/>
      <c r="T1441" s="4"/>
      <c r="U1441" s="4"/>
      <c r="V1441" s="4"/>
      <c r="W1441" s="4"/>
      <c r="X1441" s="4"/>
      <c r="Y1441" s="4"/>
      <c r="Z1441" s="4"/>
    </row>
    <row r="1442" spans="1:26" ht="15.75" customHeight="1" x14ac:dyDescent="0.2">
      <c r="A1442" s="1" t="s">
        <v>2873</v>
      </c>
      <c r="B1442" s="1" t="s">
        <v>2874</v>
      </c>
      <c r="C1442" s="5" t="str">
        <f ca="1">IFERROR(__xludf.DUMMYFUNCTION("REGEXEXTRACT($B1442, $E$2)"),"webb")</f>
        <v>webb</v>
      </c>
      <c r="E1442" s="4"/>
      <c r="F1442" s="4"/>
      <c r="G1442" s="4"/>
      <c r="H1442" s="4"/>
      <c r="I1442" s="4"/>
      <c r="J1442" s="4"/>
      <c r="K1442" s="4"/>
      <c r="L1442" s="4"/>
      <c r="M1442" s="4"/>
      <c r="N1442" s="4"/>
      <c r="O1442" s="4"/>
      <c r="P1442" s="4"/>
      <c r="Q1442" s="4"/>
      <c r="R1442" s="4"/>
      <c r="S1442" s="4"/>
      <c r="T1442" s="4"/>
      <c r="U1442" s="4"/>
      <c r="V1442" s="4"/>
      <c r="W1442" s="4"/>
      <c r="X1442" s="4"/>
      <c r="Y1442" s="4"/>
      <c r="Z1442" s="4"/>
    </row>
    <row r="1443" spans="1:26" ht="15.75" customHeight="1" x14ac:dyDescent="0.2">
      <c r="A1443" s="1" t="s">
        <v>2875</v>
      </c>
      <c r="B1443" s="1" t="s">
        <v>2876</v>
      </c>
      <c r="C1443" s="5" t="str">
        <f ca="1">IFERROR(__xludf.DUMMYFUNCTION("REGEXEXTRACT($B1443, $E$2)"),"webber")</f>
        <v>webber</v>
      </c>
      <c r="E1443" s="4"/>
      <c r="F1443" s="4"/>
      <c r="G1443" s="4"/>
      <c r="H1443" s="4"/>
      <c r="I1443" s="4"/>
      <c r="J1443" s="4"/>
      <c r="K1443" s="4"/>
      <c r="L1443" s="4"/>
      <c r="M1443" s="4"/>
      <c r="N1443" s="4"/>
      <c r="O1443" s="4"/>
      <c r="P1443" s="4"/>
      <c r="Q1443" s="4"/>
      <c r="R1443" s="4"/>
      <c r="S1443" s="4"/>
      <c r="T1443" s="4"/>
      <c r="U1443" s="4"/>
      <c r="V1443" s="4"/>
      <c r="W1443" s="4"/>
      <c r="X1443" s="4"/>
      <c r="Y1443" s="4"/>
      <c r="Z1443" s="4"/>
    </row>
    <row r="1444" spans="1:26" ht="15.75" customHeight="1" x14ac:dyDescent="0.2">
      <c r="A1444" s="1" t="s">
        <v>2877</v>
      </c>
      <c r="B1444" s="1" t="s">
        <v>2878</v>
      </c>
      <c r="C1444" s="5" t="str">
        <f ca="1">IFERROR(__xludf.DUMMYFUNCTION("REGEXEXTRACT($B1444, $E$2)"),"weber")</f>
        <v>weber</v>
      </c>
      <c r="E1444" s="4"/>
      <c r="F1444" s="4"/>
      <c r="G1444" s="4"/>
      <c r="H1444" s="4"/>
      <c r="I1444" s="4"/>
      <c r="J1444" s="4"/>
      <c r="K1444" s="4"/>
      <c r="L1444" s="4"/>
      <c r="M1444" s="4"/>
      <c r="N1444" s="4"/>
      <c r="O1444" s="4"/>
      <c r="P1444" s="4"/>
      <c r="Q1444" s="4"/>
      <c r="R1444" s="4"/>
      <c r="S1444" s="4"/>
      <c r="T1444" s="4"/>
      <c r="U1444" s="4"/>
      <c r="V1444" s="4"/>
      <c r="W1444" s="4"/>
      <c r="X1444" s="4"/>
      <c r="Y1444" s="4"/>
      <c r="Z1444" s="4"/>
    </row>
    <row r="1445" spans="1:26" ht="15.75" customHeight="1" x14ac:dyDescent="0.2">
      <c r="A1445" s="1" t="s">
        <v>2879</v>
      </c>
      <c r="B1445" s="1" t="s">
        <v>2880</v>
      </c>
      <c r="C1445" s="5" t="str">
        <f ca="1">IFERROR(__xludf.DUMMYFUNCTION("REGEXEXTRACT($B1445, $E$2)"),"webster")</f>
        <v>webster</v>
      </c>
      <c r="E1445" s="4"/>
      <c r="F1445" s="4"/>
      <c r="G1445" s="4"/>
      <c r="H1445" s="4"/>
      <c r="I1445" s="4"/>
      <c r="J1445" s="4"/>
      <c r="K1445" s="4"/>
      <c r="L1445" s="4"/>
      <c r="M1445" s="4"/>
      <c r="N1445" s="4"/>
      <c r="O1445" s="4"/>
      <c r="P1445" s="4"/>
      <c r="Q1445" s="4"/>
      <c r="R1445" s="4"/>
      <c r="S1445" s="4"/>
      <c r="T1445" s="4"/>
      <c r="U1445" s="4"/>
      <c r="V1445" s="4"/>
      <c r="W1445" s="4"/>
      <c r="X1445" s="4"/>
      <c r="Y1445" s="4"/>
      <c r="Z1445" s="4"/>
    </row>
    <row r="1446" spans="1:26" ht="15.75" customHeight="1" x14ac:dyDescent="0.2">
      <c r="A1446" s="1" t="s">
        <v>2881</v>
      </c>
      <c r="B1446" s="1" t="s">
        <v>2882</v>
      </c>
      <c r="C1446" s="5" t="str">
        <f ca="1">IFERROR(__xludf.DUMMYFUNCTION("REGEXEXTRACT($B1446, $E$2)"),"welch")</f>
        <v>welch</v>
      </c>
      <c r="E1446" s="4"/>
      <c r="F1446" s="4"/>
      <c r="G1446" s="4"/>
      <c r="H1446" s="4"/>
      <c r="I1446" s="4"/>
      <c r="J1446" s="4"/>
      <c r="K1446" s="4"/>
      <c r="L1446" s="4"/>
      <c r="M1446" s="4"/>
      <c r="N1446" s="4"/>
      <c r="O1446" s="4"/>
      <c r="P1446" s="4"/>
      <c r="Q1446" s="4"/>
      <c r="R1446" s="4"/>
      <c r="S1446" s="4"/>
      <c r="T1446" s="4"/>
      <c r="U1446" s="4"/>
      <c r="V1446" s="4"/>
      <c r="W1446" s="4"/>
      <c r="X1446" s="4"/>
      <c r="Y1446" s="4"/>
      <c r="Z1446" s="4"/>
    </row>
    <row r="1447" spans="1:26" ht="15.75" customHeight="1" x14ac:dyDescent="0.2">
      <c r="A1447" s="1" t="s">
        <v>2883</v>
      </c>
      <c r="B1447" s="1" t="s">
        <v>2884</v>
      </c>
      <c r="C1447" s="5" t="str">
        <f ca="1">IFERROR(__xludf.DUMMYFUNCTION("REGEXEXTRACT($B1447, $E$2)"),"wellesley")</f>
        <v>wellesley</v>
      </c>
      <c r="E1447" s="4"/>
      <c r="F1447" s="4"/>
      <c r="G1447" s="4"/>
      <c r="H1447" s="4"/>
      <c r="I1447" s="4"/>
      <c r="J1447" s="4"/>
      <c r="K1447" s="4"/>
      <c r="L1447" s="4"/>
      <c r="M1447" s="4"/>
      <c r="N1447" s="4"/>
      <c r="O1447" s="4"/>
      <c r="P1447" s="4"/>
      <c r="Q1447" s="4"/>
      <c r="R1447" s="4"/>
      <c r="S1447" s="4"/>
      <c r="T1447" s="4"/>
      <c r="U1447" s="4"/>
      <c r="V1447" s="4"/>
      <c r="W1447" s="4"/>
      <c r="X1447" s="4"/>
      <c r="Y1447" s="4"/>
      <c r="Z1447" s="4"/>
    </row>
    <row r="1448" spans="1:26" ht="15.75" customHeight="1" x14ac:dyDescent="0.2">
      <c r="A1448" s="1" t="s">
        <v>2885</v>
      </c>
      <c r="B1448" s="1" t="s">
        <v>2886</v>
      </c>
      <c r="C1448" s="5" t="str">
        <f ca="1">IFERROR(__xludf.DUMMYFUNCTION("REGEXEXTRACT($B1448, $E$2)"),"wells")</f>
        <v>wells</v>
      </c>
      <c r="E1448" s="4"/>
      <c r="F1448" s="4"/>
      <c r="G1448" s="4"/>
      <c r="H1448" s="4"/>
      <c r="I1448" s="4"/>
      <c r="J1448" s="4"/>
      <c r="K1448" s="4"/>
      <c r="L1448" s="4"/>
      <c r="M1448" s="4"/>
      <c r="N1448" s="4"/>
      <c r="O1448" s="4"/>
      <c r="P1448" s="4"/>
      <c r="Q1448" s="4"/>
      <c r="R1448" s="4"/>
      <c r="S1448" s="4"/>
      <c r="T1448" s="4"/>
      <c r="U1448" s="4"/>
      <c r="V1448" s="4"/>
      <c r="W1448" s="4"/>
      <c r="X1448" s="4"/>
      <c r="Y1448" s="4"/>
      <c r="Z1448" s="4"/>
    </row>
    <row r="1449" spans="1:26" ht="15.75" customHeight="1" x14ac:dyDescent="0.2">
      <c r="A1449" s="1" t="s">
        <v>2887</v>
      </c>
      <c r="B1449" s="1" t="s">
        <v>2888</v>
      </c>
      <c r="C1449" s="5" t="str">
        <f ca="1">IFERROR(__xludf.DUMMYFUNCTION("REGEXEXTRACT($B1449, $E$2)"),"wit")</f>
        <v>wit</v>
      </c>
      <c r="E1449" s="4"/>
      <c r="F1449" s="4"/>
      <c r="G1449" s="4"/>
      <c r="H1449" s="4"/>
      <c r="I1449" s="4"/>
      <c r="J1449" s="4"/>
      <c r="K1449" s="4"/>
      <c r="L1449" s="4"/>
      <c r="M1449" s="4"/>
      <c r="N1449" s="4"/>
      <c r="O1449" s="4"/>
      <c r="P1449" s="4"/>
      <c r="Q1449" s="4"/>
      <c r="R1449" s="4"/>
      <c r="S1449" s="4"/>
      <c r="T1449" s="4"/>
      <c r="U1449" s="4"/>
      <c r="V1449" s="4"/>
      <c r="W1449" s="4"/>
      <c r="X1449" s="4"/>
      <c r="Y1449" s="4"/>
      <c r="Z1449" s="4"/>
    </row>
    <row r="1450" spans="1:26" ht="15.75" customHeight="1" x14ac:dyDescent="0.2">
      <c r="A1450" s="1" t="s">
        <v>2889</v>
      </c>
      <c r="B1450" s="1" t="s">
        <v>2890</v>
      </c>
      <c r="C1450" s="5" t="str">
        <f ca="1">IFERROR(__xludf.DUMMYFUNCTION("REGEXEXTRACT($B1450, $E$2)"),"wesley")</f>
        <v>wesley</v>
      </c>
      <c r="E1450" s="4"/>
      <c r="F1450" s="4"/>
      <c r="G1450" s="4"/>
      <c r="H1450" s="4"/>
      <c r="I1450" s="4"/>
      <c r="J1450" s="4"/>
      <c r="K1450" s="4"/>
      <c r="L1450" s="4"/>
      <c r="M1450" s="4"/>
      <c r="N1450" s="4"/>
      <c r="O1450" s="4"/>
      <c r="P1450" s="4"/>
      <c r="Q1450" s="4"/>
      <c r="R1450" s="4"/>
      <c r="S1450" s="4"/>
      <c r="T1450" s="4"/>
      <c r="U1450" s="4"/>
      <c r="V1450" s="4"/>
      <c r="W1450" s="4"/>
      <c r="X1450" s="4"/>
      <c r="Y1450" s="4"/>
      <c r="Z1450" s="4"/>
    </row>
    <row r="1451" spans="1:26" ht="15.75" customHeight="1" x14ac:dyDescent="0.2">
      <c r="A1451" s="1" t="s">
        <v>2891</v>
      </c>
      <c r="B1451" s="1" t="s">
        <v>2892</v>
      </c>
      <c r="C1451" s="5" t="str">
        <f ca="1">IFERROR(__xludf.DUMMYFUNCTION("REGEXEXTRACT($B1451, $E$2)"),"wesleyancollege")</f>
        <v>wesleyancollege</v>
      </c>
      <c r="E1451" s="4"/>
      <c r="F1451" s="4"/>
      <c r="G1451" s="4"/>
      <c r="H1451" s="4"/>
      <c r="I1451" s="4"/>
      <c r="J1451" s="4"/>
      <c r="K1451" s="4"/>
      <c r="L1451" s="4"/>
      <c r="M1451" s="4"/>
      <c r="N1451" s="4"/>
      <c r="O1451" s="4"/>
      <c r="P1451" s="4"/>
      <c r="Q1451" s="4"/>
      <c r="R1451" s="4"/>
      <c r="S1451" s="4"/>
      <c r="T1451" s="4"/>
      <c r="U1451" s="4"/>
      <c r="V1451" s="4"/>
      <c r="W1451" s="4"/>
      <c r="X1451" s="4"/>
      <c r="Y1451" s="4"/>
      <c r="Z1451" s="4"/>
    </row>
    <row r="1452" spans="1:26" ht="15.75" customHeight="1" x14ac:dyDescent="0.2">
      <c r="A1452" s="1" t="s">
        <v>2893</v>
      </c>
      <c r="B1452" s="1" t="s">
        <v>2894</v>
      </c>
      <c r="C1452" s="5" t="str">
        <f ca="1">IFERROR(__xludf.DUMMYFUNCTION("REGEXEXTRACT($B1452, $E$2)"),"wesleyan")</f>
        <v>wesleyan</v>
      </c>
      <c r="E1452" s="4"/>
      <c r="F1452" s="4"/>
      <c r="G1452" s="4"/>
      <c r="H1452" s="4"/>
      <c r="I1452" s="4"/>
      <c r="J1452" s="4"/>
      <c r="K1452" s="4"/>
      <c r="L1452" s="4"/>
      <c r="M1452" s="4"/>
      <c r="N1452" s="4"/>
      <c r="O1452" s="4"/>
      <c r="P1452" s="4"/>
      <c r="Q1452" s="4"/>
      <c r="R1452" s="4"/>
      <c r="S1452" s="4"/>
      <c r="T1452" s="4"/>
      <c r="U1452" s="4"/>
      <c r="V1452" s="4"/>
      <c r="W1452" s="4"/>
      <c r="X1452" s="4"/>
      <c r="Y1452" s="4"/>
      <c r="Z1452" s="4"/>
    </row>
    <row r="1453" spans="1:26" ht="15.75" customHeight="1" x14ac:dyDescent="0.2">
      <c r="A1453" s="1" t="s">
        <v>2895</v>
      </c>
      <c r="B1453" s="1" t="s">
        <v>2896</v>
      </c>
      <c r="C1453" s="5" t="str">
        <f ca="1">IFERROR(__xludf.DUMMYFUNCTION("REGEXEXTRACT($B1453, $E$2)"),"wcupa")</f>
        <v>wcupa</v>
      </c>
      <c r="E1453" s="4"/>
      <c r="F1453" s="4"/>
      <c r="G1453" s="4"/>
      <c r="H1453" s="4"/>
      <c r="I1453" s="4"/>
      <c r="J1453" s="4"/>
      <c r="K1453" s="4"/>
      <c r="L1453" s="4"/>
      <c r="M1453" s="4"/>
      <c r="N1453" s="4"/>
      <c r="O1453" s="4"/>
      <c r="P1453" s="4"/>
      <c r="Q1453" s="4"/>
      <c r="R1453" s="4"/>
      <c r="S1453" s="4"/>
      <c r="T1453" s="4"/>
      <c r="U1453" s="4"/>
      <c r="V1453" s="4"/>
      <c r="W1453" s="4"/>
      <c r="X1453" s="4"/>
      <c r="Y1453" s="4"/>
      <c r="Z1453" s="4"/>
    </row>
    <row r="1454" spans="1:26" ht="15.75" customHeight="1" x14ac:dyDescent="0.2">
      <c r="A1454" s="1" t="s">
        <v>2897</v>
      </c>
      <c r="B1454" s="1" t="s">
        <v>2898</v>
      </c>
      <c r="C1454" s="5" t="str">
        <f ca="1">IFERROR(__xludf.DUMMYFUNCTION("REGEXEXTRACT($B1454, $E$2)"),"westliberty")</f>
        <v>westliberty</v>
      </c>
      <c r="E1454" s="4"/>
      <c r="F1454" s="4"/>
      <c r="G1454" s="4"/>
      <c r="H1454" s="4"/>
      <c r="I1454" s="4"/>
      <c r="J1454" s="4"/>
      <c r="K1454" s="4"/>
      <c r="L1454" s="4"/>
      <c r="M1454" s="4"/>
      <c r="N1454" s="4"/>
      <c r="O1454" s="4"/>
      <c r="P1454" s="4"/>
      <c r="Q1454" s="4"/>
      <c r="R1454" s="4"/>
      <c r="S1454" s="4"/>
      <c r="T1454" s="4"/>
      <c r="U1454" s="4"/>
      <c r="V1454" s="4"/>
      <c r="W1454" s="4"/>
      <c r="X1454" s="4"/>
      <c r="Y1454" s="4"/>
      <c r="Z1454" s="4"/>
    </row>
    <row r="1455" spans="1:26" ht="15.75" customHeight="1" x14ac:dyDescent="0.2">
      <c r="A1455" s="1" t="s">
        <v>2899</v>
      </c>
      <c r="B1455" s="1" t="s">
        <v>2900</v>
      </c>
      <c r="C1455" s="5" t="str">
        <f ca="1">IFERROR(__xludf.DUMMYFUNCTION("REGEXEXTRACT($B1455, $E$2)"),"wtamu")</f>
        <v>wtamu</v>
      </c>
      <c r="E1455" s="4"/>
      <c r="F1455" s="4"/>
      <c r="G1455" s="4"/>
      <c r="H1455" s="4"/>
      <c r="I1455" s="4"/>
      <c r="J1455" s="4"/>
      <c r="K1455" s="4"/>
      <c r="L1455" s="4"/>
      <c r="M1455" s="4"/>
      <c r="N1455" s="4"/>
      <c r="O1455" s="4"/>
      <c r="P1455" s="4"/>
      <c r="Q1455" s="4"/>
      <c r="R1455" s="4"/>
      <c r="S1455" s="4"/>
      <c r="T1455" s="4"/>
      <c r="U1455" s="4"/>
      <c r="V1455" s="4"/>
      <c r="W1455" s="4"/>
      <c r="X1455" s="4"/>
      <c r="Y1455" s="4"/>
      <c r="Z1455" s="4"/>
    </row>
    <row r="1456" spans="1:26" ht="15.75" customHeight="1" x14ac:dyDescent="0.2">
      <c r="A1456" s="1" t="s">
        <v>2901</v>
      </c>
      <c r="B1456" s="1" t="s">
        <v>2902</v>
      </c>
      <c r="C1456" s="5" t="str">
        <f ca="1">IFERROR(__xludf.DUMMYFUNCTION("REGEXEXTRACT($B1456, $E$2)"),"wvstateu")</f>
        <v>wvstateu</v>
      </c>
      <c r="E1456" s="4"/>
      <c r="F1456" s="4"/>
      <c r="G1456" s="4"/>
      <c r="H1456" s="4"/>
      <c r="I1456" s="4"/>
      <c r="J1456" s="4"/>
      <c r="K1456" s="4"/>
      <c r="L1456" s="4"/>
      <c r="M1456" s="4"/>
      <c r="N1456" s="4"/>
      <c r="O1456" s="4"/>
      <c r="P1456" s="4"/>
      <c r="Q1456" s="4"/>
      <c r="R1456" s="4"/>
      <c r="S1456" s="4"/>
      <c r="T1456" s="4"/>
      <c r="U1456" s="4"/>
      <c r="V1456" s="4"/>
      <c r="W1456" s="4"/>
      <c r="X1456" s="4"/>
      <c r="Y1456" s="4"/>
      <c r="Z1456" s="4"/>
    </row>
    <row r="1457" spans="1:26" ht="15.75" customHeight="1" x14ac:dyDescent="0.2">
      <c r="A1457" s="1" t="s">
        <v>2903</v>
      </c>
      <c r="B1457" s="1" t="s">
        <v>2904</v>
      </c>
      <c r="C1457" s="5" t="str">
        <f ca="1">IFERROR(__xludf.DUMMYFUNCTION("REGEXEXTRACT($B1457, $E$2)"),"wvu")</f>
        <v>wvu</v>
      </c>
      <c r="E1457" s="4"/>
      <c r="F1457" s="4"/>
      <c r="G1457" s="4"/>
      <c r="H1457" s="4"/>
      <c r="I1457" s="4"/>
      <c r="J1457" s="4"/>
      <c r="K1457" s="4"/>
      <c r="L1457" s="4"/>
      <c r="M1457" s="4"/>
      <c r="N1457" s="4"/>
      <c r="O1457" s="4"/>
      <c r="P1457" s="4"/>
      <c r="Q1457" s="4"/>
      <c r="R1457" s="4"/>
      <c r="S1457" s="4"/>
      <c r="T1457" s="4"/>
      <c r="U1457" s="4"/>
      <c r="V1457" s="4"/>
      <c r="W1457" s="4"/>
      <c r="X1457" s="4"/>
      <c r="Y1457" s="4"/>
      <c r="Z1457" s="4"/>
    </row>
    <row r="1458" spans="1:26" ht="15.75" customHeight="1" x14ac:dyDescent="0.2">
      <c r="A1458" s="1" t="s">
        <v>2905</v>
      </c>
      <c r="B1458" s="1" t="s">
        <v>2906</v>
      </c>
      <c r="C1458" s="5" t="str">
        <f ca="1">IFERROR(__xludf.DUMMYFUNCTION("REGEXEXTRACT($B1458, $E$2)"),"wvup")</f>
        <v>wvup</v>
      </c>
      <c r="E1458" s="4"/>
      <c r="F1458" s="4"/>
      <c r="G1458" s="4"/>
      <c r="H1458" s="4"/>
      <c r="I1458" s="4"/>
      <c r="J1458" s="4"/>
      <c r="K1458" s="4"/>
      <c r="L1458" s="4"/>
      <c r="M1458" s="4"/>
      <c r="N1458" s="4"/>
      <c r="O1458" s="4"/>
      <c r="P1458" s="4"/>
      <c r="Q1458" s="4"/>
      <c r="R1458" s="4"/>
      <c r="S1458" s="4"/>
      <c r="T1458" s="4"/>
      <c r="U1458" s="4"/>
      <c r="V1458" s="4"/>
      <c r="W1458" s="4"/>
      <c r="X1458" s="4"/>
      <c r="Y1458" s="4"/>
      <c r="Z1458" s="4"/>
    </row>
    <row r="1459" spans="1:26" ht="15.75" customHeight="1" x14ac:dyDescent="0.2">
      <c r="A1459" s="1" t="s">
        <v>2907</v>
      </c>
      <c r="B1459" s="1" t="s">
        <v>2908</v>
      </c>
      <c r="C1459" s="5" t="str">
        <f ca="1">IFERROR(__xludf.DUMMYFUNCTION("REGEXEXTRACT($B1459, $E$2)"),"wvwc")</f>
        <v>wvwc</v>
      </c>
      <c r="E1459" s="4"/>
      <c r="F1459" s="4"/>
      <c r="G1459" s="4"/>
      <c r="H1459" s="4"/>
      <c r="I1459" s="4"/>
      <c r="J1459" s="4"/>
      <c r="K1459" s="4"/>
      <c r="L1459" s="4"/>
      <c r="M1459" s="4"/>
      <c r="N1459" s="4"/>
      <c r="O1459" s="4"/>
      <c r="P1459" s="4"/>
      <c r="Q1459" s="4"/>
      <c r="R1459" s="4"/>
      <c r="S1459" s="4"/>
      <c r="T1459" s="4"/>
      <c r="U1459" s="4"/>
      <c r="V1459" s="4"/>
      <c r="W1459" s="4"/>
      <c r="X1459" s="4"/>
      <c r="Y1459" s="4"/>
      <c r="Z1459" s="4"/>
    </row>
    <row r="1460" spans="1:26" ht="15.75" customHeight="1" x14ac:dyDescent="0.2">
      <c r="A1460" s="1" t="s">
        <v>2909</v>
      </c>
      <c r="B1460" s="1" t="s">
        <v>2910</v>
      </c>
      <c r="C1460" s="5" t="str">
        <f ca="1">IFERROR(__xludf.DUMMYFUNCTION("REGEXEXTRACT($B1460, $E$2)"),"wcu")</f>
        <v>wcu</v>
      </c>
      <c r="E1460" s="4"/>
      <c r="F1460" s="4"/>
      <c r="G1460" s="4"/>
      <c r="H1460" s="4"/>
      <c r="I1460" s="4"/>
      <c r="J1460" s="4"/>
      <c r="K1460" s="4"/>
      <c r="L1460" s="4"/>
      <c r="M1460" s="4"/>
      <c r="N1460" s="4"/>
      <c r="O1460" s="4"/>
      <c r="P1460" s="4"/>
      <c r="Q1460" s="4"/>
      <c r="R1460" s="4"/>
      <c r="S1460" s="4"/>
      <c r="T1460" s="4"/>
      <c r="U1460" s="4"/>
      <c r="V1460" s="4"/>
      <c r="W1460" s="4"/>
      <c r="X1460" s="4"/>
      <c r="Y1460" s="4"/>
      <c r="Z1460" s="4"/>
    </row>
    <row r="1461" spans="1:26" ht="15.75" customHeight="1" x14ac:dyDescent="0.2">
      <c r="A1461" s="1" t="s">
        <v>2911</v>
      </c>
      <c r="B1461" s="1" t="s">
        <v>2912</v>
      </c>
      <c r="C1461" s="5" t="str">
        <f ca="1">IFERROR(__xludf.DUMMYFUNCTION("REGEXEXTRACT($B1461, $E$2)"),"wcsu")</f>
        <v>wcsu</v>
      </c>
      <c r="E1461" s="4"/>
      <c r="F1461" s="4"/>
      <c r="G1461" s="4"/>
      <c r="H1461" s="4"/>
      <c r="I1461" s="4"/>
      <c r="J1461" s="4"/>
      <c r="K1461" s="4"/>
      <c r="L1461" s="4"/>
      <c r="M1461" s="4"/>
      <c r="N1461" s="4"/>
      <c r="O1461" s="4"/>
      <c r="P1461" s="4"/>
      <c r="Q1461" s="4"/>
      <c r="R1461" s="4"/>
      <c r="S1461" s="4"/>
      <c r="T1461" s="4"/>
      <c r="U1461" s="4"/>
      <c r="V1461" s="4"/>
      <c r="W1461" s="4"/>
      <c r="X1461" s="4"/>
      <c r="Y1461" s="4"/>
      <c r="Z1461" s="4"/>
    </row>
    <row r="1462" spans="1:26" ht="15.75" customHeight="1" x14ac:dyDescent="0.2">
      <c r="A1462" s="1" t="s">
        <v>2913</v>
      </c>
      <c r="B1462" s="1" t="s">
        <v>2914</v>
      </c>
      <c r="C1462" s="5" t="str">
        <f ca="1">IFERROR(__xludf.DUMMYFUNCTION("REGEXEXTRACT($B1462, $E$2)"),"wiu")</f>
        <v>wiu</v>
      </c>
      <c r="E1462" s="4"/>
      <c r="F1462" s="4"/>
      <c r="G1462" s="4"/>
      <c r="H1462" s="4"/>
      <c r="I1462" s="4"/>
      <c r="J1462" s="4"/>
      <c r="K1462" s="4"/>
      <c r="L1462" s="4"/>
      <c r="M1462" s="4"/>
      <c r="N1462" s="4"/>
      <c r="O1462" s="4"/>
      <c r="P1462" s="4"/>
      <c r="Q1462" s="4"/>
      <c r="R1462" s="4"/>
      <c r="S1462" s="4"/>
      <c r="T1462" s="4"/>
      <c r="U1462" s="4"/>
      <c r="V1462" s="4"/>
      <c r="W1462" s="4"/>
      <c r="X1462" s="4"/>
      <c r="Y1462" s="4"/>
      <c r="Z1462" s="4"/>
    </row>
    <row r="1463" spans="1:26" ht="15.75" customHeight="1" x14ac:dyDescent="0.2">
      <c r="A1463" s="1" t="s">
        <v>2915</v>
      </c>
      <c r="B1463" s="1" t="s">
        <v>2916</v>
      </c>
      <c r="C1463" s="5" t="str">
        <f ca="1">IFERROR(__xludf.DUMMYFUNCTION("REGEXEXTRACT($B1463, $E$2)"),"wku")</f>
        <v>wku</v>
      </c>
      <c r="E1463" s="4"/>
      <c r="F1463" s="4"/>
      <c r="G1463" s="4"/>
      <c r="H1463" s="4"/>
      <c r="I1463" s="4"/>
      <c r="J1463" s="4"/>
      <c r="K1463" s="4"/>
      <c r="L1463" s="4"/>
      <c r="M1463" s="4"/>
      <c r="N1463" s="4"/>
      <c r="O1463" s="4"/>
      <c r="P1463" s="4"/>
      <c r="Q1463" s="4"/>
      <c r="R1463" s="4"/>
      <c r="S1463" s="4"/>
      <c r="T1463" s="4"/>
      <c r="U1463" s="4"/>
      <c r="V1463" s="4"/>
      <c r="W1463" s="4"/>
      <c r="X1463" s="4"/>
      <c r="Y1463" s="4"/>
      <c r="Z1463" s="4"/>
    </row>
    <row r="1464" spans="1:26" ht="15.75" customHeight="1" x14ac:dyDescent="0.2">
      <c r="A1464" s="1" t="s">
        <v>2917</v>
      </c>
      <c r="B1464" s="1" t="s">
        <v>2918</v>
      </c>
      <c r="C1464" s="5" t="str">
        <f ca="1">IFERROR(__xludf.DUMMYFUNCTION("REGEXEXTRACT($B1464, $E$2)"),"wmich")</f>
        <v>wmich</v>
      </c>
      <c r="E1464" s="4"/>
      <c r="F1464" s="4"/>
      <c r="G1464" s="4"/>
      <c r="H1464" s="4"/>
      <c r="I1464" s="4"/>
      <c r="J1464" s="4"/>
      <c r="K1464" s="4"/>
      <c r="L1464" s="4"/>
      <c r="M1464" s="4"/>
      <c r="N1464" s="4"/>
      <c r="O1464" s="4"/>
      <c r="P1464" s="4"/>
      <c r="Q1464" s="4"/>
      <c r="R1464" s="4"/>
      <c r="S1464" s="4"/>
      <c r="T1464" s="4"/>
      <c r="U1464" s="4"/>
      <c r="V1464" s="4"/>
      <c r="W1464" s="4"/>
      <c r="X1464" s="4"/>
      <c r="Y1464" s="4"/>
      <c r="Z1464" s="4"/>
    </row>
    <row r="1465" spans="1:26" ht="15.75" customHeight="1" x14ac:dyDescent="0.2">
      <c r="A1465" s="1" t="s">
        <v>2919</v>
      </c>
      <c r="B1465" s="1" t="s">
        <v>2920</v>
      </c>
      <c r="C1465" s="5" t="str">
        <f ca="1">IFERROR(__xludf.DUMMYFUNCTION("REGEXEXTRACT($B1465, $E$2)"),"wne")</f>
        <v>wne</v>
      </c>
      <c r="E1465" s="4"/>
      <c r="F1465" s="4"/>
      <c r="G1465" s="4"/>
      <c r="H1465" s="4"/>
      <c r="I1465" s="4"/>
      <c r="J1465" s="4"/>
      <c r="K1465" s="4"/>
      <c r="L1465" s="4"/>
      <c r="M1465" s="4"/>
      <c r="N1465" s="4"/>
      <c r="O1465" s="4"/>
      <c r="P1465" s="4"/>
      <c r="Q1465" s="4"/>
      <c r="R1465" s="4"/>
      <c r="S1465" s="4"/>
      <c r="T1465" s="4"/>
      <c r="U1465" s="4"/>
      <c r="V1465" s="4"/>
      <c r="W1465" s="4"/>
      <c r="X1465" s="4"/>
      <c r="Y1465" s="4"/>
      <c r="Z1465" s="4"/>
    </row>
    <row r="1466" spans="1:26" ht="15.75" customHeight="1" x14ac:dyDescent="0.2">
      <c r="A1466" s="1" t="s">
        <v>2921</v>
      </c>
      <c r="B1466" s="1" t="s">
        <v>2922</v>
      </c>
      <c r="C1466" s="5" t="str">
        <f ca="1">IFERROR(__xludf.DUMMYFUNCTION("REGEXEXTRACT($B1466, $E$2)"),"wnmu")</f>
        <v>wnmu</v>
      </c>
      <c r="E1466" s="4"/>
      <c r="F1466" s="4"/>
      <c r="G1466" s="4"/>
      <c r="H1466" s="4"/>
      <c r="I1466" s="4"/>
      <c r="J1466" s="4"/>
      <c r="K1466" s="4"/>
      <c r="L1466" s="4"/>
      <c r="M1466" s="4"/>
      <c r="N1466" s="4"/>
      <c r="O1466" s="4"/>
      <c r="P1466" s="4"/>
      <c r="Q1466" s="4"/>
      <c r="R1466" s="4"/>
      <c r="S1466" s="4"/>
      <c r="T1466" s="4"/>
      <c r="U1466" s="4"/>
      <c r="V1466" s="4"/>
      <c r="W1466" s="4"/>
      <c r="X1466" s="4"/>
      <c r="Y1466" s="4"/>
      <c r="Z1466" s="4"/>
    </row>
    <row r="1467" spans="1:26" ht="15.75" customHeight="1" x14ac:dyDescent="0.2">
      <c r="A1467" s="1" t="s">
        <v>2923</v>
      </c>
      <c r="B1467" s="1" t="s">
        <v>2924</v>
      </c>
      <c r="C1467" s="5" t="str">
        <f ca="1">IFERROR(__xludf.DUMMYFUNCTION("REGEXEXTRACT($B1467, $E$2)"),"wou")</f>
        <v>wou</v>
      </c>
      <c r="E1467" s="4"/>
      <c r="F1467" s="4"/>
      <c r="G1467" s="4"/>
      <c r="H1467" s="4"/>
      <c r="I1467" s="4"/>
      <c r="J1467" s="4"/>
      <c r="K1467" s="4"/>
      <c r="L1467" s="4"/>
      <c r="M1467" s="4"/>
      <c r="N1467" s="4"/>
      <c r="O1467" s="4"/>
      <c r="P1467" s="4"/>
      <c r="Q1467" s="4"/>
      <c r="R1467" s="4"/>
      <c r="S1467" s="4"/>
      <c r="T1467" s="4"/>
      <c r="U1467" s="4"/>
      <c r="V1467" s="4"/>
      <c r="W1467" s="4"/>
      <c r="X1467" s="4"/>
      <c r="Y1467" s="4"/>
      <c r="Z1467" s="4"/>
    </row>
    <row r="1468" spans="1:26" ht="15.75" customHeight="1" x14ac:dyDescent="0.2">
      <c r="A1468" s="1" t="s">
        <v>2925</v>
      </c>
      <c r="B1468" s="1" t="s">
        <v>2926</v>
      </c>
      <c r="C1468" s="5" t="str">
        <f ca="1">IFERROR(__xludf.DUMMYFUNCTION("REGEXEXTRACT($B1468, $E$2)"),"western")</f>
        <v>western</v>
      </c>
      <c r="E1468" s="4"/>
      <c r="F1468" s="4"/>
      <c r="G1468" s="4"/>
      <c r="H1468" s="4"/>
      <c r="I1468" s="4"/>
      <c r="J1468" s="4"/>
      <c r="K1468" s="4"/>
      <c r="L1468" s="4"/>
      <c r="M1468" s="4"/>
      <c r="N1468" s="4"/>
      <c r="O1468" s="4"/>
      <c r="P1468" s="4"/>
      <c r="Q1468" s="4"/>
      <c r="R1468" s="4"/>
      <c r="S1468" s="4"/>
      <c r="T1468" s="4"/>
      <c r="U1468" s="4"/>
      <c r="V1468" s="4"/>
      <c r="W1468" s="4"/>
      <c r="X1468" s="4"/>
      <c r="Y1468" s="4"/>
      <c r="Z1468" s="4"/>
    </row>
    <row r="1469" spans="1:26" ht="15.75" customHeight="1" x14ac:dyDescent="0.2">
      <c r="A1469" s="1" t="s">
        <v>2927</v>
      </c>
      <c r="B1469" s="1" t="s">
        <v>2928</v>
      </c>
      <c r="C1469" s="5" t="str">
        <f ca="1">IFERROR(__xludf.DUMMYFUNCTION("REGEXEXTRACT($B1469, $E$2)"),"wwu")</f>
        <v>wwu</v>
      </c>
      <c r="E1469" s="4"/>
      <c r="F1469" s="4"/>
      <c r="G1469" s="4"/>
      <c r="H1469" s="4"/>
      <c r="I1469" s="4"/>
      <c r="J1469" s="4"/>
      <c r="K1469" s="4"/>
      <c r="L1469" s="4"/>
      <c r="M1469" s="4"/>
      <c r="N1469" s="4"/>
      <c r="O1469" s="4"/>
      <c r="P1469" s="4"/>
      <c r="Q1469" s="4"/>
      <c r="R1469" s="4"/>
      <c r="S1469" s="4"/>
      <c r="T1469" s="4"/>
      <c r="U1469" s="4"/>
      <c r="V1469" s="4"/>
      <c r="W1469" s="4"/>
      <c r="X1469" s="4"/>
      <c r="Y1469" s="4"/>
      <c r="Z1469" s="4"/>
    </row>
    <row r="1470" spans="1:26" ht="15.75" customHeight="1" x14ac:dyDescent="0.2">
      <c r="A1470" s="1" t="s">
        <v>2929</v>
      </c>
      <c r="B1470" s="1" t="s">
        <v>2930</v>
      </c>
      <c r="C1470" s="5" t="str">
        <f ca="1">IFERROR(__xludf.DUMMYFUNCTION("REGEXEXTRACT($B1470, $E$2)"),"ma")</f>
        <v>ma</v>
      </c>
      <c r="E1470" s="4"/>
      <c r="F1470" s="4"/>
      <c r="G1470" s="4"/>
      <c r="H1470" s="4"/>
      <c r="I1470" s="4"/>
      <c r="J1470" s="4"/>
      <c r="K1470" s="4"/>
      <c r="L1470" s="4"/>
      <c r="M1470" s="4"/>
      <c r="N1470" s="4"/>
      <c r="O1470" s="4"/>
      <c r="P1470" s="4"/>
      <c r="Q1470" s="4"/>
      <c r="R1470" s="4"/>
      <c r="S1470" s="4"/>
      <c r="T1470" s="4"/>
      <c r="U1470" s="4"/>
      <c r="V1470" s="4"/>
      <c r="W1470" s="4"/>
      <c r="X1470" s="4"/>
      <c r="Y1470" s="4"/>
      <c r="Z1470" s="4"/>
    </row>
    <row r="1471" spans="1:26" ht="15.75" customHeight="1" x14ac:dyDescent="0.2">
      <c r="A1471" s="1" t="s">
        <v>2931</v>
      </c>
      <c r="B1471" s="1" t="s">
        <v>2932</v>
      </c>
      <c r="C1471" s="5" t="str">
        <f ca="1">IFERROR(__xludf.DUMMYFUNCTION("REGEXEXTRACT($B1471, $E$2)"),"westminster")</f>
        <v>westminster</v>
      </c>
      <c r="E1471" s="4"/>
      <c r="F1471" s="4"/>
      <c r="G1471" s="4"/>
      <c r="H1471" s="4"/>
      <c r="I1471" s="4"/>
      <c r="J1471" s="4"/>
      <c r="K1471" s="4"/>
      <c r="L1471" s="4"/>
      <c r="M1471" s="4"/>
      <c r="N1471" s="4"/>
      <c r="O1471" s="4"/>
      <c r="P1471" s="4"/>
      <c r="Q1471" s="4"/>
      <c r="R1471" s="4"/>
      <c r="S1471" s="4"/>
      <c r="T1471" s="4"/>
      <c r="U1471" s="4"/>
      <c r="V1471" s="4"/>
      <c r="W1471" s="4"/>
      <c r="X1471" s="4"/>
      <c r="Y1471" s="4"/>
      <c r="Z1471" s="4"/>
    </row>
    <row r="1472" spans="1:26" ht="15.75" customHeight="1" x14ac:dyDescent="0.2">
      <c r="A1472" s="1" t="s">
        <v>2933</v>
      </c>
      <c r="B1472" s="1" t="s">
        <v>2934</v>
      </c>
      <c r="C1472" s="5" t="str">
        <f ca="1">IFERROR(__xludf.DUMMYFUNCTION("REGEXEXTRACT($B1472, $E$2)"),"westminster-mo")</f>
        <v>westminster-mo</v>
      </c>
      <c r="E1472" s="4"/>
      <c r="F1472" s="4"/>
      <c r="G1472" s="4"/>
      <c r="H1472" s="4"/>
      <c r="I1472" s="4"/>
      <c r="J1472" s="4"/>
      <c r="K1472" s="4"/>
      <c r="L1472" s="4"/>
      <c r="M1472" s="4"/>
      <c r="N1472" s="4"/>
      <c r="O1472" s="4"/>
      <c r="P1472" s="4"/>
      <c r="Q1472" s="4"/>
      <c r="R1472" s="4"/>
      <c r="S1472" s="4"/>
      <c r="T1472" s="4"/>
      <c r="U1472" s="4"/>
      <c r="V1472" s="4"/>
      <c r="W1472" s="4"/>
      <c r="X1472" s="4"/>
      <c r="Y1472" s="4"/>
      <c r="Z1472" s="4"/>
    </row>
    <row r="1473" spans="1:26" ht="15.75" customHeight="1" x14ac:dyDescent="0.2">
      <c r="A1473" s="1" t="s">
        <v>2935</v>
      </c>
      <c r="B1473" s="1" t="s">
        <v>2936</v>
      </c>
      <c r="C1473" s="5" t="str">
        <f ca="1">IFERROR(__xludf.DUMMYFUNCTION("REGEXEXTRACT($B1473, $E$2)"),"westminstercollege")</f>
        <v>westminstercollege</v>
      </c>
      <c r="E1473" s="4"/>
      <c r="F1473" s="4"/>
      <c r="G1473" s="4"/>
      <c r="H1473" s="4"/>
      <c r="I1473" s="4"/>
      <c r="J1473" s="4"/>
      <c r="K1473" s="4"/>
      <c r="L1473" s="4"/>
      <c r="M1473" s="4"/>
      <c r="N1473" s="4"/>
      <c r="O1473" s="4"/>
      <c r="P1473" s="4"/>
      <c r="Q1473" s="4"/>
      <c r="R1473" s="4"/>
      <c r="S1473" s="4"/>
      <c r="T1473" s="4"/>
      <c r="U1473" s="4"/>
      <c r="V1473" s="4"/>
      <c r="W1473" s="4"/>
      <c r="X1473" s="4"/>
      <c r="Y1473" s="4"/>
      <c r="Z1473" s="4"/>
    </row>
    <row r="1474" spans="1:26" ht="15.75" customHeight="1" x14ac:dyDescent="0.2">
      <c r="A1474" s="1" t="s">
        <v>2937</v>
      </c>
      <c r="B1474" s="1" t="s">
        <v>2938</v>
      </c>
      <c r="C1474" s="5" t="str">
        <f ca="1">IFERROR(__xludf.DUMMYFUNCTION("REGEXEXTRACT($B1474, $E$2)"),"westmont")</f>
        <v>westmont</v>
      </c>
      <c r="E1474" s="4"/>
      <c r="F1474" s="4"/>
      <c r="G1474" s="4"/>
      <c r="H1474" s="4"/>
      <c r="I1474" s="4"/>
      <c r="J1474" s="4"/>
      <c r="K1474" s="4"/>
      <c r="L1474" s="4"/>
      <c r="M1474" s="4"/>
      <c r="N1474" s="4"/>
      <c r="O1474" s="4"/>
      <c r="P1474" s="4"/>
      <c r="Q1474" s="4"/>
      <c r="R1474" s="4"/>
      <c r="S1474" s="4"/>
      <c r="T1474" s="4"/>
      <c r="U1474" s="4"/>
      <c r="V1474" s="4"/>
      <c r="W1474" s="4"/>
      <c r="X1474" s="4"/>
      <c r="Y1474" s="4"/>
      <c r="Z1474" s="4"/>
    </row>
    <row r="1475" spans="1:26" ht="15.75" customHeight="1" x14ac:dyDescent="0.2">
      <c r="A1475" s="1" t="s">
        <v>2939</v>
      </c>
      <c r="B1475" s="1" t="s">
        <v>2940</v>
      </c>
      <c r="C1475" s="5" t="str">
        <f ca="1">IFERROR(__xludf.DUMMYFUNCTION("REGEXEXTRACT($B1475, $E$2)"),"wheaton")</f>
        <v>wheaton</v>
      </c>
      <c r="E1475" s="4"/>
      <c r="F1475" s="4"/>
      <c r="G1475" s="4"/>
      <c r="H1475" s="4"/>
      <c r="I1475" s="4"/>
      <c r="J1475" s="4"/>
      <c r="K1475" s="4"/>
      <c r="L1475" s="4"/>
      <c r="M1475" s="4"/>
      <c r="N1475" s="4"/>
      <c r="O1475" s="4"/>
      <c r="P1475" s="4"/>
      <c r="Q1475" s="4"/>
      <c r="R1475" s="4"/>
      <c r="S1475" s="4"/>
      <c r="T1475" s="4"/>
      <c r="U1475" s="4"/>
      <c r="V1475" s="4"/>
      <c r="W1475" s="4"/>
      <c r="X1475" s="4"/>
      <c r="Y1475" s="4"/>
      <c r="Z1475" s="4"/>
    </row>
    <row r="1476" spans="1:26" ht="15.75" customHeight="1" x14ac:dyDescent="0.2">
      <c r="A1476" s="1" t="s">
        <v>2941</v>
      </c>
      <c r="B1476" s="1" t="s">
        <v>2942</v>
      </c>
      <c r="C1476" s="5" t="str">
        <f ca="1">IFERROR(__xludf.DUMMYFUNCTION("REGEXEXTRACT($B1476, $E$2)"),"wheatoncollege")</f>
        <v>wheatoncollege</v>
      </c>
      <c r="E1476" s="4"/>
      <c r="F1476" s="4"/>
      <c r="G1476" s="4"/>
      <c r="H1476" s="4"/>
      <c r="I1476" s="4"/>
      <c r="J1476" s="4"/>
      <c r="K1476" s="4"/>
      <c r="L1476" s="4"/>
      <c r="M1476" s="4"/>
      <c r="N1476" s="4"/>
      <c r="O1476" s="4"/>
      <c r="P1476" s="4"/>
      <c r="Q1476" s="4"/>
      <c r="R1476" s="4"/>
      <c r="S1476" s="4"/>
      <c r="T1476" s="4"/>
      <c r="U1476" s="4"/>
      <c r="V1476" s="4"/>
      <c r="W1476" s="4"/>
      <c r="X1476" s="4"/>
      <c r="Y1476" s="4"/>
      <c r="Z1476" s="4"/>
    </row>
    <row r="1477" spans="1:26" ht="15.75" customHeight="1" x14ac:dyDescent="0.2">
      <c r="A1477" s="1" t="s">
        <v>2943</v>
      </c>
      <c r="B1477" s="1" t="s">
        <v>2944</v>
      </c>
      <c r="C1477" s="5" t="str">
        <f ca="1">IFERROR(__xludf.DUMMYFUNCTION("REGEXEXTRACT($B1477, $E$2)"),"wju")</f>
        <v>wju</v>
      </c>
      <c r="E1477" s="4"/>
      <c r="F1477" s="4"/>
      <c r="G1477" s="4"/>
      <c r="H1477" s="4"/>
      <c r="I1477" s="4"/>
      <c r="J1477" s="4"/>
      <c r="K1477" s="4"/>
      <c r="L1477" s="4"/>
      <c r="M1477" s="4"/>
      <c r="N1477" s="4"/>
      <c r="O1477" s="4"/>
      <c r="P1477" s="4"/>
      <c r="Q1477" s="4"/>
      <c r="R1477" s="4"/>
      <c r="S1477" s="4"/>
      <c r="T1477" s="4"/>
      <c r="U1477" s="4"/>
      <c r="V1477" s="4"/>
      <c r="W1477" s="4"/>
      <c r="X1477" s="4"/>
      <c r="Y1477" s="4"/>
      <c r="Z1477" s="4"/>
    </row>
    <row r="1478" spans="1:26" ht="15.75" customHeight="1" x14ac:dyDescent="0.2">
      <c r="A1478" s="1" t="s">
        <v>2945</v>
      </c>
      <c r="B1478" s="1" t="s">
        <v>2946</v>
      </c>
      <c r="C1478" s="5" t="str">
        <f ca="1">IFERROR(__xludf.DUMMYFUNCTION("REGEXEXTRACT($B1478, $E$2)"),"whitman")</f>
        <v>whitman</v>
      </c>
      <c r="E1478" s="4"/>
      <c r="F1478" s="4"/>
      <c r="G1478" s="4"/>
      <c r="H1478" s="4"/>
      <c r="I1478" s="4"/>
      <c r="J1478" s="4"/>
      <c r="K1478" s="4"/>
      <c r="L1478" s="4"/>
      <c r="M1478" s="4"/>
      <c r="N1478" s="4"/>
      <c r="O1478" s="4"/>
      <c r="P1478" s="4"/>
      <c r="Q1478" s="4"/>
      <c r="R1478" s="4"/>
      <c r="S1478" s="4"/>
      <c r="T1478" s="4"/>
      <c r="U1478" s="4"/>
      <c r="V1478" s="4"/>
      <c r="W1478" s="4"/>
      <c r="X1478" s="4"/>
      <c r="Y1478" s="4"/>
      <c r="Z1478" s="4"/>
    </row>
    <row r="1479" spans="1:26" ht="15.75" customHeight="1" x14ac:dyDescent="0.2">
      <c r="A1479" s="1" t="s">
        <v>2947</v>
      </c>
      <c r="B1479" s="1" t="s">
        <v>2948</v>
      </c>
      <c r="C1479" s="5" t="str">
        <f ca="1">IFERROR(__xludf.DUMMYFUNCTION("REGEXEXTRACT($B1479, $E$2)"),"whittier")</f>
        <v>whittier</v>
      </c>
      <c r="E1479" s="4"/>
      <c r="F1479" s="4"/>
      <c r="G1479" s="4"/>
      <c r="H1479" s="4"/>
      <c r="I1479" s="4"/>
      <c r="J1479" s="4"/>
      <c r="K1479" s="4"/>
      <c r="L1479" s="4"/>
      <c r="M1479" s="4"/>
      <c r="N1479" s="4"/>
      <c r="O1479" s="4"/>
      <c r="P1479" s="4"/>
      <c r="Q1479" s="4"/>
      <c r="R1479" s="4"/>
      <c r="S1479" s="4"/>
      <c r="T1479" s="4"/>
      <c r="U1479" s="4"/>
      <c r="V1479" s="4"/>
      <c r="W1479" s="4"/>
      <c r="X1479" s="4"/>
      <c r="Y1479" s="4"/>
      <c r="Z1479" s="4"/>
    </row>
    <row r="1480" spans="1:26" ht="15.75" customHeight="1" x14ac:dyDescent="0.2">
      <c r="A1480" s="1" t="s">
        <v>2949</v>
      </c>
      <c r="B1480" s="1" t="s">
        <v>2950</v>
      </c>
      <c r="C1480" s="5" t="str">
        <f ca="1">IFERROR(__xludf.DUMMYFUNCTION("REGEXEXTRACT($B1480, $E$2)"),"whitworth")</f>
        <v>whitworth</v>
      </c>
      <c r="E1480" s="4"/>
      <c r="F1480" s="4"/>
      <c r="G1480" s="4"/>
      <c r="H1480" s="4"/>
      <c r="I1480" s="4"/>
      <c r="J1480" s="4"/>
      <c r="K1480" s="4"/>
      <c r="L1480" s="4"/>
      <c r="M1480" s="4"/>
      <c r="N1480" s="4"/>
      <c r="O1480" s="4"/>
      <c r="P1480" s="4"/>
      <c r="Q1480" s="4"/>
      <c r="R1480" s="4"/>
      <c r="S1480" s="4"/>
      <c r="T1480" s="4"/>
      <c r="U1480" s="4"/>
      <c r="V1480" s="4"/>
      <c r="W1480" s="4"/>
      <c r="X1480" s="4"/>
      <c r="Y1480" s="4"/>
      <c r="Z1480" s="4"/>
    </row>
    <row r="1481" spans="1:26" ht="15.75" customHeight="1" x14ac:dyDescent="0.2">
      <c r="A1481" s="1" t="s">
        <v>2951</v>
      </c>
      <c r="B1481" s="1" t="s">
        <v>2952</v>
      </c>
      <c r="C1481" s="5" t="str">
        <f ca="1">IFERROR(__xludf.DUMMYFUNCTION("REGEXEXTRACT($B1481, $E$2)"),"wichita")</f>
        <v>wichita</v>
      </c>
      <c r="E1481" s="4"/>
      <c r="F1481" s="4"/>
      <c r="G1481" s="4"/>
      <c r="H1481" s="4"/>
      <c r="I1481" s="4"/>
      <c r="J1481" s="4"/>
      <c r="K1481" s="4"/>
      <c r="L1481" s="4"/>
      <c r="M1481" s="4"/>
      <c r="N1481" s="4"/>
      <c r="O1481" s="4"/>
      <c r="P1481" s="4"/>
      <c r="Q1481" s="4"/>
      <c r="R1481" s="4"/>
      <c r="S1481" s="4"/>
      <c r="T1481" s="4"/>
      <c r="U1481" s="4"/>
      <c r="V1481" s="4"/>
      <c r="W1481" s="4"/>
      <c r="X1481" s="4"/>
      <c r="Y1481" s="4"/>
      <c r="Z1481" s="4"/>
    </row>
    <row r="1482" spans="1:26" ht="15.75" customHeight="1" x14ac:dyDescent="0.2">
      <c r="A1482" s="1" t="s">
        <v>2953</v>
      </c>
      <c r="B1482" s="1" t="s">
        <v>2954</v>
      </c>
      <c r="C1482" s="5" t="str">
        <f ca="1">IFERROR(__xludf.DUMMYFUNCTION("REGEXEXTRACT($B1482, $E$2)"),"widener")</f>
        <v>widener</v>
      </c>
      <c r="E1482" s="4"/>
      <c r="F1482" s="4"/>
      <c r="G1482" s="4"/>
      <c r="H1482" s="4"/>
      <c r="I1482" s="4"/>
      <c r="J1482" s="4"/>
      <c r="K1482" s="4"/>
      <c r="L1482" s="4"/>
      <c r="M1482" s="4"/>
      <c r="N1482" s="4"/>
      <c r="O1482" s="4"/>
      <c r="P1482" s="4"/>
      <c r="Q1482" s="4"/>
      <c r="R1482" s="4"/>
      <c r="S1482" s="4"/>
      <c r="T1482" s="4"/>
      <c r="U1482" s="4"/>
      <c r="V1482" s="4"/>
      <c r="W1482" s="4"/>
      <c r="X1482" s="4"/>
      <c r="Y1482" s="4"/>
      <c r="Z1482" s="4"/>
    </row>
    <row r="1483" spans="1:26" ht="15.75" customHeight="1" x14ac:dyDescent="0.2">
      <c r="A1483" s="1" t="s">
        <v>2955</v>
      </c>
      <c r="B1483" s="1" t="s">
        <v>2956</v>
      </c>
      <c r="C1483" s="5" t="str">
        <f ca="1">IFERROR(__xludf.DUMMYFUNCTION("REGEXEXTRACT($B1483, $E$2)"),"wilberforce")</f>
        <v>wilberforce</v>
      </c>
      <c r="E1483" s="4"/>
      <c r="F1483" s="4"/>
      <c r="G1483" s="4"/>
      <c r="H1483" s="4"/>
      <c r="I1483" s="4"/>
      <c r="J1483" s="4"/>
      <c r="K1483" s="4"/>
      <c r="L1483" s="4"/>
      <c r="M1483" s="4"/>
      <c r="N1483" s="4"/>
      <c r="O1483" s="4"/>
      <c r="P1483" s="4"/>
      <c r="Q1483" s="4"/>
      <c r="R1483" s="4"/>
      <c r="S1483" s="4"/>
      <c r="T1483" s="4"/>
      <c r="U1483" s="4"/>
      <c r="V1483" s="4"/>
      <c r="W1483" s="4"/>
      <c r="X1483" s="4"/>
      <c r="Y1483" s="4"/>
      <c r="Z1483" s="4"/>
    </row>
    <row r="1484" spans="1:26" ht="15.75" customHeight="1" x14ac:dyDescent="0.2">
      <c r="A1484" s="1" t="s">
        <v>2957</v>
      </c>
      <c r="B1484" s="1" t="s">
        <v>2958</v>
      </c>
      <c r="C1484" s="5" t="str">
        <f ca="1">IFERROR(__xludf.DUMMYFUNCTION("REGEXEXTRACT($B1484, $E$2)"),"wilkes")</f>
        <v>wilkes</v>
      </c>
      <c r="E1484" s="4"/>
      <c r="F1484" s="4"/>
      <c r="G1484" s="4"/>
      <c r="H1484" s="4"/>
      <c r="I1484" s="4"/>
      <c r="J1484" s="4"/>
      <c r="K1484" s="4"/>
      <c r="L1484" s="4"/>
      <c r="M1484" s="4"/>
      <c r="N1484" s="4"/>
      <c r="O1484" s="4"/>
      <c r="P1484" s="4"/>
      <c r="Q1484" s="4"/>
      <c r="R1484" s="4"/>
      <c r="S1484" s="4"/>
      <c r="T1484" s="4"/>
      <c r="U1484" s="4"/>
      <c r="V1484" s="4"/>
      <c r="W1484" s="4"/>
      <c r="X1484" s="4"/>
      <c r="Y1484" s="4"/>
      <c r="Z1484" s="4"/>
    </row>
    <row r="1485" spans="1:26" ht="15.75" customHeight="1" x14ac:dyDescent="0.2">
      <c r="A1485" s="1" t="s">
        <v>2959</v>
      </c>
      <c r="B1485" s="1" t="s">
        <v>2960</v>
      </c>
      <c r="C1485" s="5" t="str">
        <f ca="1">IFERROR(__xludf.DUMMYFUNCTION("REGEXEXTRACT($B1485, $E$2)"),"willamette")</f>
        <v>willamette</v>
      </c>
      <c r="E1485" s="4"/>
      <c r="F1485" s="4"/>
      <c r="G1485" s="4"/>
      <c r="H1485" s="4"/>
      <c r="I1485" s="4"/>
      <c r="J1485" s="4"/>
      <c r="K1485" s="4"/>
      <c r="L1485" s="4"/>
      <c r="M1485" s="4"/>
      <c r="N1485" s="4"/>
      <c r="O1485" s="4"/>
      <c r="P1485" s="4"/>
      <c r="Q1485" s="4"/>
      <c r="R1485" s="4"/>
      <c r="S1485" s="4"/>
      <c r="T1485" s="4"/>
      <c r="U1485" s="4"/>
      <c r="V1485" s="4"/>
      <c r="W1485" s="4"/>
      <c r="X1485" s="4"/>
      <c r="Y1485" s="4"/>
      <c r="Z1485" s="4"/>
    </row>
    <row r="1486" spans="1:26" ht="15.75" customHeight="1" x14ac:dyDescent="0.2">
      <c r="A1486" s="1" t="s">
        <v>2961</v>
      </c>
      <c r="B1486" s="1" t="s">
        <v>2962</v>
      </c>
      <c r="C1486" s="5" t="str">
        <f ca="1">IFERROR(__xludf.DUMMYFUNCTION("REGEXEXTRACT($B1486, $E$2)"),"wmcarey")</f>
        <v>wmcarey</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ht="15.75" customHeight="1" x14ac:dyDescent="0.2">
      <c r="A1487" s="1" t="s">
        <v>2963</v>
      </c>
      <c r="B1487" s="1" t="s">
        <v>2964</v>
      </c>
      <c r="C1487" s="5" t="str">
        <f ca="1">IFERROR(__xludf.DUMMYFUNCTION("REGEXEXTRACT($B1487, $E$2)"),"jessup")</f>
        <v>jessup</v>
      </c>
      <c r="E1487" s="4"/>
      <c r="F1487" s="4"/>
      <c r="G1487" s="4"/>
      <c r="H1487" s="4"/>
      <c r="I1487" s="4"/>
      <c r="J1487" s="4"/>
      <c r="K1487" s="4"/>
      <c r="L1487" s="4"/>
      <c r="M1487" s="4"/>
      <c r="N1487" s="4"/>
      <c r="O1487" s="4"/>
      <c r="P1487" s="4"/>
      <c r="Q1487" s="4"/>
      <c r="R1487" s="4"/>
      <c r="S1487" s="4"/>
      <c r="T1487" s="4"/>
      <c r="U1487" s="4"/>
      <c r="V1487" s="4"/>
      <c r="W1487" s="4"/>
      <c r="X1487" s="4"/>
      <c r="Y1487" s="4"/>
      <c r="Z1487" s="4"/>
    </row>
    <row r="1488" spans="1:26" ht="15.75" customHeight="1" x14ac:dyDescent="0.2">
      <c r="A1488" s="1" t="s">
        <v>2965</v>
      </c>
      <c r="B1488" s="1" t="s">
        <v>2966</v>
      </c>
      <c r="C1488" s="5" t="str">
        <f ca="1">IFERROR(__xludf.DUMMYFUNCTION("REGEXEXTRACT($B1488, $E$2)"),"jewell")</f>
        <v>jewell</v>
      </c>
      <c r="E1488" s="4"/>
      <c r="F1488" s="4"/>
      <c r="G1488" s="4"/>
      <c r="H1488" s="4"/>
      <c r="I1488" s="4"/>
      <c r="J1488" s="4"/>
      <c r="K1488" s="4"/>
      <c r="L1488" s="4"/>
      <c r="M1488" s="4"/>
      <c r="N1488" s="4"/>
      <c r="O1488" s="4"/>
      <c r="P1488" s="4"/>
      <c r="Q1488" s="4"/>
      <c r="R1488" s="4"/>
      <c r="S1488" s="4"/>
      <c r="T1488" s="4"/>
      <c r="U1488" s="4"/>
      <c r="V1488" s="4"/>
      <c r="W1488" s="4"/>
      <c r="X1488" s="4"/>
      <c r="Y1488" s="4"/>
      <c r="Z1488" s="4"/>
    </row>
    <row r="1489" spans="1:26" ht="15.75" customHeight="1" x14ac:dyDescent="0.2">
      <c r="A1489" s="1" t="s">
        <v>2967</v>
      </c>
      <c r="B1489" s="1" t="s">
        <v>2968</v>
      </c>
      <c r="C1489" s="5" t="str">
        <f ca="1">IFERROR(__xludf.DUMMYFUNCTION("REGEXEXTRACT($B1489, $E$2)"),"wpunj")</f>
        <v>wpunj</v>
      </c>
      <c r="E1489" s="4"/>
      <c r="F1489" s="4"/>
      <c r="G1489" s="4"/>
      <c r="H1489" s="4"/>
      <c r="I1489" s="4"/>
      <c r="J1489" s="4"/>
      <c r="K1489" s="4"/>
      <c r="L1489" s="4"/>
      <c r="M1489" s="4"/>
      <c r="N1489" s="4"/>
      <c r="O1489" s="4"/>
      <c r="P1489" s="4"/>
      <c r="Q1489" s="4"/>
      <c r="R1489" s="4"/>
      <c r="S1489" s="4"/>
      <c r="T1489" s="4"/>
      <c r="U1489" s="4"/>
      <c r="V1489" s="4"/>
      <c r="W1489" s="4"/>
      <c r="X1489" s="4"/>
      <c r="Y1489" s="4"/>
      <c r="Z1489" s="4"/>
    </row>
    <row r="1490" spans="1:26" ht="15.75" customHeight="1" x14ac:dyDescent="0.2">
      <c r="A1490" s="1" t="s">
        <v>2969</v>
      </c>
      <c r="B1490" s="1" t="s">
        <v>2970</v>
      </c>
      <c r="C1490" s="5" t="str">
        <f ca="1">IFERROR(__xludf.DUMMYFUNCTION("REGEXEXTRACT($B1490, $E$2)"),"peace")</f>
        <v>peace</v>
      </c>
      <c r="E1490" s="4"/>
      <c r="F1490" s="4"/>
      <c r="G1490" s="4"/>
      <c r="H1490" s="4"/>
      <c r="I1490" s="4"/>
      <c r="J1490" s="4"/>
      <c r="K1490" s="4"/>
      <c r="L1490" s="4"/>
      <c r="M1490" s="4"/>
      <c r="N1490" s="4"/>
      <c r="O1490" s="4"/>
      <c r="P1490" s="4"/>
      <c r="Q1490" s="4"/>
      <c r="R1490" s="4"/>
      <c r="S1490" s="4"/>
      <c r="T1490" s="4"/>
      <c r="U1490" s="4"/>
      <c r="V1490" s="4"/>
      <c r="W1490" s="4"/>
      <c r="X1490" s="4"/>
      <c r="Y1490" s="4"/>
      <c r="Z1490" s="4"/>
    </row>
    <row r="1491" spans="1:26" ht="15.75" customHeight="1" x14ac:dyDescent="0.2">
      <c r="A1491" s="1" t="s">
        <v>2971</v>
      </c>
      <c r="B1491" s="1" t="s">
        <v>2972</v>
      </c>
      <c r="C1491" s="5" t="str">
        <f ca="1">IFERROR(__xludf.DUMMYFUNCTION("REGEXEXTRACT($B1491, $E$2)"),"wmpenn")</f>
        <v>wmpenn</v>
      </c>
      <c r="E1491" s="4"/>
      <c r="F1491" s="4"/>
      <c r="G1491" s="4"/>
      <c r="H1491" s="4"/>
      <c r="I1491" s="4"/>
      <c r="J1491" s="4"/>
      <c r="K1491" s="4"/>
      <c r="L1491" s="4"/>
      <c r="M1491" s="4"/>
      <c r="N1491" s="4"/>
      <c r="O1491" s="4"/>
      <c r="P1491" s="4"/>
      <c r="Q1491" s="4"/>
      <c r="R1491" s="4"/>
      <c r="S1491" s="4"/>
      <c r="T1491" s="4"/>
      <c r="U1491" s="4"/>
      <c r="V1491" s="4"/>
      <c r="W1491" s="4"/>
      <c r="X1491" s="4"/>
      <c r="Y1491" s="4"/>
      <c r="Z1491" s="4"/>
    </row>
    <row r="1492" spans="1:26" ht="15.75" customHeight="1" x14ac:dyDescent="0.2">
      <c r="A1492" s="1" t="s">
        <v>2973</v>
      </c>
      <c r="B1492" s="1" t="s">
        <v>2974</v>
      </c>
      <c r="C1492" s="5" t="str">
        <f ca="1">IFERROR(__xludf.DUMMYFUNCTION("REGEXEXTRACT($B1492, $E$2)"),"williamwoods")</f>
        <v>williamwoods</v>
      </c>
      <c r="E1492" s="4"/>
      <c r="F1492" s="4"/>
      <c r="G1492" s="4"/>
      <c r="H1492" s="4"/>
      <c r="I1492" s="4"/>
      <c r="J1492" s="4"/>
      <c r="K1492" s="4"/>
      <c r="L1492" s="4"/>
      <c r="M1492" s="4"/>
      <c r="N1492" s="4"/>
      <c r="O1492" s="4"/>
      <c r="P1492" s="4"/>
      <c r="Q1492" s="4"/>
      <c r="R1492" s="4"/>
      <c r="S1492" s="4"/>
      <c r="T1492" s="4"/>
      <c r="U1492" s="4"/>
      <c r="V1492" s="4"/>
      <c r="W1492" s="4"/>
      <c r="X1492" s="4"/>
      <c r="Y1492" s="4"/>
      <c r="Z1492" s="4"/>
    </row>
    <row r="1493" spans="1:26" ht="15.75" customHeight="1" x14ac:dyDescent="0.2">
      <c r="A1493" s="1" t="s">
        <v>2975</v>
      </c>
      <c r="B1493" s="1" t="s">
        <v>2976</v>
      </c>
      <c r="C1493" s="5" t="str">
        <f ca="1">IFERROR(__xludf.DUMMYFUNCTION("REGEXEXTRACT($B1493, $E$2)"),"wbcoll")</f>
        <v>wbcoll</v>
      </c>
      <c r="E1493" s="4"/>
      <c r="F1493" s="4"/>
      <c r="G1493" s="4"/>
      <c r="H1493" s="4"/>
      <c r="I1493" s="4"/>
      <c r="J1493" s="4"/>
      <c r="K1493" s="4"/>
      <c r="L1493" s="4"/>
      <c r="M1493" s="4"/>
      <c r="N1493" s="4"/>
      <c r="O1493" s="4"/>
      <c r="P1493" s="4"/>
      <c r="Q1493" s="4"/>
      <c r="R1493" s="4"/>
      <c r="S1493" s="4"/>
      <c r="T1493" s="4"/>
      <c r="U1493" s="4"/>
      <c r="V1493" s="4"/>
      <c r="W1493" s="4"/>
      <c r="X1493" s="4"/>
      <c r="Y1493" s="4"/>
      <c r="Z1493" s="4"/>
    </row>
    <row r="1494" spans="1:26" ht="15.75" customHeight="1" x14ac:dyDescent="0.2">
      <c r="A1494" s="1" t="s">
        <v>2977</v>
      </c>
      <c r="B1494" s="1" t="s">
        <v>2978</v>
      </c>
      <c r="C1494" s="5" t="str">
        <f ca="1">IFERROR(__xludf.DUMMYFUNCTION("REGEXEXTRACT($B1494, $E$2)"),"williams")</f>
        <v>williams</v>
      </c>
      <c r="E1494" s="4"/>
      <c r="F1494" s="4"/>
      <c r="G1494" s="4"/>
      <c r="H1494" s="4"/>
      <c r="I1494" s="4"/>
      <c r="J1494" s="4"/>
      <c r="K1494" s="4"/>
      <c r="L1494" s="4"/>
      <c r="M1494" s="4"/>
      <c r="N1494" s="4"/>
      <c r="O1494" s="4"/>
      <c r="P1494" s="4"/>
      <c r="Q1494" s="4"/>
      <c r="R1494" s="4"/>
      <c r="S1494" s="4"/>
      <c r="T1494" s="4"/>
      <c r="U1494" s="4"/>
      <c r="V1494" s="4"/>
      <c r="W1494" s="4"/>
      <c r="X1494" s="4"/>
      <c r="Y1494" s="4"/>
      <c r="Z1494" s="4"/>
    </row>
    <row r="1495" spans="1:26" ht="15.75" customHeight="1" x14ac:dyDescent="0.2">
      <c r="A1495" s="1" t="s">
        <v>2979</v>
      </c>
      <c r="B1495" s="1" t="s">
        <v>2980</v>
      </c>
      <c r="C1495" s="5" t="str">
        <f ca="1">IFERROR(__xludf.DUMMYFUNCTION("REGEXEXTRACT($B1495, $E$2)"),"wilmington")</f>
        <v>wilmington</v>
      </c>
      <c r="E1495" s="4"/>
      <c r="F1495" s="4"/>
      <c r="G1495" s="4"/>
      <c r="H1495" s="4"/>
      <c r="I1495" s="4"/>
      <c r="J1495" s="4"/>
      <c r="K1495" s="4"/>
      <c r="L1495" s="4"/>
      <c r="M1495" s="4"/>
      <c r="N1495" s="4"/>
      <c r="O1495" s="4"/>
      <c r="P1495" s="4"/>
      <c r="Q1495" s="4"/>
      <c r="R1495" s="4"/>
      <c r="S1495" s="4"/>
      <c r="T1495" s="4"/>
      <c r="U1495" s="4"/>
      <c r="V1495" s="4"/>
      <c r="W1495" s="4"/>
      <c r="X1495" s="4"/>
      <c r="Y1495" s="4"/>
      <c r="Z1495" s="4"/>
    </row>
    <row r="1496" spans="1:26" ht="15.75" customHeight="1" x14ac:dyDescent="0.2">
      <c r="A1496" s="1" t="s">
        <v>2981</v>
      </c>
      <c r="B1496" s="1" t="s">
        <v>2982</v>
      </c>
      <c r="C1496" s="5" t="str">
        <f ca="1">IFERROR(__xludf.DUMMYFUNCTION("REGEXEXTRACT($B1496, $E$2)"),"wilmu")</f>
        <v>wilmu</v>
      </c>
      <c r="E1496" s="4"/>
      <c r="F1496" s="4"/>
      <c r="G1496" s="4"/>
      <c r="H1496" s="4"/>
      <c r="I1496" s="4"/>
      <c r="J1496" s="4"/>
      <c r="K1496" s="4"/>
      <c r="L1496" s="4"/>
      <c r="M1496" s="4"/>
      <c r="N1496" s="4"/>
      <c r="O1496" s="4"/>
      <c r="P1496" s="4"/>
      <c r="Q1496" s="4"/>
      <c r="R1496" s="4"/>
      <c r="S1496" s="4"/>
      <c r="T1496" s="4"/>
      <c r="U1496" s="4"/>
      <c r="V1496" s="4"/>
      <c r="W1496" s="4"/>
      <c r="X1496" s="4"/>
      <c r="Y1496" s="4"/>
      <c r="Z1496" s="4"/>
    </row>
    <row r="1497" spans="1:26" ht="15.75" customHeight="1" x14ac:dyDescent="0.2">
      <c r="A1497" s="1" t="s">
        <v>2983</v>
      </c>
      <c r="B1497" s="1" t="s">
        <v>2984</v>
      </c>
      <c r="C1497" s="5" t="str">
        <f ca="1">IFERROR(__xludf.DUMMYFUNCTION("REGEXEXTRACT($B1497, $E$2)"),"wilson")</f>
        <v>wilson</v>
      </c>
      <c r="E1497" s="4"/>
      <c r="F1497" s="4"/>
      <c r="G1497" s="4"/>
      <c r="H1497" s="4"/>
      <c r="I1497" s="4"/>
      <c r="J1497" s="4"/>
      <c r="K1497" s="4"/>
      <c r="L1497" s="4"/>
      <c r="M1497" s="4"/>
      <c r="N1497" s="4"/>
      <c r="O1497" s="4"/>
      <c r="P1497" s="4"/>
      <c r="Q1497" s="4"/>
      <c r="R1497" s="4"/>
      <c r="S1497" s="4"/>
      <c r="T1497" s="4"/>
      <c r="U1497" s="4"/>
      <c r="V1497" s="4"/>
      <c r="W1497" s="4"/>
      <c r="X1497" s="4"/>
      <c r="Y1497" s="4"/>
      <c r="Z1497" s="4"/>
    </row>
    <row r="1498" spans="1:26" ht="15.75" customHeight="1" x14ac:dyDescent="0.2">
      <c r="A1498" s="1" t="s">
        <v>2985</v>
      </c>
      <c r="B1498" s="1" t="s">
        <v>2986</v>
      </c>
      <c r="C1498" s="5" t="str">
        <f ca="1">IFERROR(__xludf.DUMMYFUNCTION("REGEXEXTRACT($B1498, $E$2)"),"wingate")</f>
        <v>wingate</v>
      </c>
      <c r="E1498" s="4"/>
      <c r="F1498" s="4"/>
      <c r="G1498" s="4"/>
      <c r="H1498" s="4"/>
      <c r="I1498" s="4"/>
      <c r="J1498" s="4"/>
      <c r="K1498" s="4"/>
      <c r="L1498" s="4"/>
      <c r="M1498" s="4"/>
      <c r="N1498" s="4"/>
      <c r="O1498" s="4"/>
      <c r="P1498" s="4"/>
      <c r="Q1498" s="4"/>
      <c r="R1498" s="4"/>
      <c r="S1498" s="4"/>
      <c r="T1498" s="4"/>
      <c r="U1498" s="4"/>
      <c r="V1498" s="4"/>
      <c r="W1498" s="4"/>
      <c r="X1498" s="4"/>
      <c r="Y1498" s="4"/>
      <c r="Z1498" s="4"/>
    </row>
    <row r="1499" spans="1:26" ht="15.75" customHeight="1" x14ac:dyDescent="0.2">
      <c r="A1499" s="1" t="s">
        <v>2987</v>
      </c>
      <c r="B1499" s="1" t="s">
        <v>2988</v>
      </c>
      <c r="C1499" s="5" t="str">
        <f ca="1">IFERROR(__xludf.DUMMYFUNCTION("REGEXEXTRACT($B1499, $E$2)"),"winona")</f>
        <v>winona</v>
      </c>
      <c r="E1499" s="4"/>
      <c r="F1499" s="4"/>
      <c r="G1499" s="4"/>
      <c r="H1499" s="4"/>
      <c r="I1499" s="4"/>
      <c r="J1499" s="4"/>
      <c r="K1499" s="4"/>
      <c r="L1499" s="4"/>
      <c r="M1499" s="4"/>
      <c r="N1499" s="4"/>
      <c r="O1499" s="4"/>
      <c r="P1499" s="4"/>
      <c r="Q1499" s="4"/>
      <c r="R1499" s="4"/>
      <c r="S1499" s="4"/>
      <c r="T1499" s="4"/>
      <c r="U1499" s="4"/>
      <c r="V1499" s="4"/>
      <c r="W1499" s="4"/>
      <c r="X1499" s="4"/>
      <c r="Y1499" s="4"/>
      <c r="Z1499" s="4"/>
    </row>
    <row r="1500" spans="1:26" ht="15.75" customHeight="1" x14ac:dyDescent="0.2">
      <c r="A1500" s="1" t="s">
        <v>2989</v>
      </c>
      <c r="B1500" s="1" t="s">
        <v>2990</v>
      </c>
      <c r="C1500" s="5" t="str">
        <f ca="1">IFERROR(__xludf.DUMMYFUNCTION("REGEXEXTRACT($B1500, $E$2)"),"wssu")</f>
        <v>wssu</v>
      </c>
      <c r="E1500" s="4"/>
      <c r="F1500" s="4"/>
      <c r="G1500" s="4"/>
      <c r="H1500" s="4"/>
      <c r="I1500" s="4"/>
      <c r="J1500" s="4"/>
      <c r="K1500" s="4"/>
      <c r="L1500" s="4"/>
      <c r="M1500" s="4"/>
      <c r="N1500" s="4"/>
      <c r="O1500" s="4"/>
      <c r="P1500" s="4"/>
      <c r="Q1500" s="4"/>
      <c r="R1500" s="4"/>
      <c r="S1500" s="4"/>
      <c r="T1500" s="4"/>
      <c r="U1500" s="4"/>
      <c r="V1500" s="4"/>
      <c r="W1500" s="4"/>
      <c r="X1500" s="4"/>
      <c r="Y1500" s="4"/>
      <c r="Z1500" s="4"/>
    </row>
    <row r="1501" spans="1:26" ht="15.75" customHeight="1" x14ac:dyDescent="0.2">
      <c r="A1501" s="1" t="s">
        <v>2991</v>
      </c>
      <c r="B1501" s="1" t="s">
        <v>2992</v>
      </c>
      <c r="C1501" s="5" t="str">
        <f ca="1">IFERROR(__xludf.DUMMYFUNCTION("REGEXEXTRACT($B1501, $E$2)"),"winthrop")</f>
        <v>winthrop</v>
      </c>
      <c r="E1501" s="4"/>
      <c r="F1501" s="4"/>
      <c r="G1501" s="4"/>
      <c r="H1501" s="4"/>
      <c r="I1501" s="4"/>
      <c r="J1501" s="4"/>
      <c r="K1501" s="4"/>
      <c r="L1501" s="4"/>
      <c r="M1501" s="4"/>
      <c r="N1501" s="4"/>
      <c r="O1501" s="4"/>
      <c r="P1501" s="4"/>
      <c r="Q1501" s="4"/>
      <c r="R1501" s="4"/>
      <c r="S1501" s="4"/>
      <c r="T1501" s="4"/>
      <c r="U1501" s="4"/>
      <c r="V1501" s="4"/>
      <c r="W1501" s="4"/>
      <c r="X1501" s="4"/>
      <c r="Y1501" s="4"/>
      <c r="Z1501" s="4"/>
    </row>
    <row r="1502" spans="1:26" ht="15.75" customHeight="1" x14ac:dyDescent="0.2">
      <c r="A1502" s="1" t="s">
        <v>2993</v>
      </c>
      <c r="B1502" s="1" t="s">
        <v>2994</v>
      </c>
      <c r="C1502" s="5" t="str">
        <f ca="1">IFERROR(__xludf.DUMMYFUNCTION("REGEXEXTRACT($B1502, $E$2)"),"wlc")</f>
        <v>wlc</v>
      </c>
      <c r="E1502" s="4"/>
      <c r="F1502" s="4"/>
      <c r="G1502" s="4"/>
      <c r="H1502" s="4"/>
      <c r="I1502" s="4"/>
      <c r="J1502" s="4"/>
      <c r="K1502" s="4"/>
      <c r="L1502" s="4"/>
      <c r="M1502" s="4"/>
      <c r="N1502" s="4"/>
      <c r="O1502" s="4"/>
      <c r="P1502" s="4"/>
      <c r="Q1502" s="4"/>
      <c r="R1502" s="4"/>
      <c r="S1502" s="4"/>
      <c r="T1502" s="4"/>
      <c r="U1502" s="4"/>
      <c r="V1502" s="4"/>
      <c r="W1502" s="4"/>
      <c r="X1502" s="4"/>
      <c r="Y1502" s="4"/>
      <c r="Z1502" s="4"/>
    </row>
    <row r="1503" spans="1:26" ht="15.75" customHeight="1" x14ac:dyDescent="0.2">
      <c r="A1503" s="1" t="s">
        <v>2995</v>
      </c>
      <c r="B1503" s="1" t="s">
        <v>2996</v>
      </c>
      <c r="C1503" s="5" t="str">
        <f ca="1">IFERROR(__xludf.DUMMYFUNCTION("REGEXEXTRACT($B1503, $E$2)"),"wittenberg")</f>
        <v>wittenberg</v>
      </c>
      <c r="E1503" s="4"/>
      <c r="F1503" s="4"/>
      <c r="G1503" s="4"/>
      <c r="H1503" s="4"/>
      <c r="I1503" s="4"/>
      <c r="J1503" s="4"/>
      <c r="K1503" s="4"/>
      <c r="L1503" s="4"/>
      <c r="M1503" s="4"/>
      <c r="N1503" s="4"/>
      <c r="O1503" s="4"/>
      <c r="P1503" s="4"/>
      <c r="Q1503" s="4"/>
      <c r="R1503" s="4"/>
      <c r="S1503" s="4"/>
      <c r="T1503" s="4"/>
      <c r="U1503" s="4"/>
      <c r="V1503" s="4"/>
      <c r="W1503" s="4"/>
      <c r="X1503" s="4"/>
      <c r="Y1503" s="4"/>
      <c r="Z1503" s="4"/>
    </row>
    <row r="1504" spans="1:26" ht="15.75" customHeight="1" x14ac:dyDescent="0.2">
      <c r="A1504" s="1" t="s">
        <v>2997</v>
      </c>
      <c r="B1504" s="1" t="s">
        <v>2998</v>
      </c>
      <c r="C1504" s="5" t="str">
        <f ca="1">IFERROR(__xludf.DUMMYFUNCTION("REGEXEXTRACT($B1504, $E$2)"),"wofford")</f>
        <v>wofford</v>
      </c>
      <c r="E1504" s="4"/>
      <c r="F1504" s="4"/>
      <c r="G1504" s="4"/>
      <c r="H1504" s="4"/>
      <c r="I1504" s="4"/>
      <c r="J1504" s="4"/>
      <c r="K1504" s="4"/>
      <c r="L1504" s="4"/>
      <c r="M1504" s="4"/>
      <c r="N1504" s="4"/>
      <c r="O1504" s="4"/>
      <c r="P1504" s="4"/>
      <c r="Q1504" s="4"/>
      <c r="R1504" s="4"/>
      <c r="S1504" s="4"/>
      <c r="T1504" s="4"/>
      <c r="U1504" s="4"/>
      <c r="V1504" s="4"/>
      <c r="W1504" s="4"/>
      <c r="X1504" s="4"/>
      <c r="Y1504" s="4"/>
      <c r="Z1504" s="4"/>
    </row>
    <row r="1505" spans="1:26" ht="15.75" customHeight="1" x14ac:dyDescent="0.2">
      <c r="A1505" s="1" t="s">
        <v>2999</v>
      </c>
      <c r="B1505" s="1" t="s">
        <v>3000</v>
      </c>
      <c r="C1505" s="5" t="str">
        <f ca="1">IFERROR(__xludf.DUMMYFUNCTION("REGEXEXTRACT($B1505, $E$2)"),"woodbury")</f>
        <v>woodbury</v>
      </c>
      <c r="E1505" s="4"/>
      <c r="F1505" s="4"/>
      <c r="G1505" s="4"/>
      <c r="H1505" s="4"/>
      <c r="I1505" s="4"/>
      <c r="J1505" s="4"/>
      <c r="K1505" s="4"/>
      <c r="L1505" s="4"/>
      <c r="M1505" s="4"/>
      <c r="N1505" s="4"/>
      <c r="O1505" s="4"/>
      <c r="P1505" s="4"/>
      <c r="Q1505" s="4"/>
      <c r="R1505" s="4"/>
      <c r="S1505" s="4"/>
      <c r="T1505" s="4"/>
      <c r="U1505" s="4"/>
      <c r="V1505" s="4"/>
      <c r="W1505" s="4"/>
      <c r="X1505" s="4"/>
      <c r="Y1505" s="4"/>
      <c r="Z1505" s="4"/>
    </row>
    <row r="1506" spans="1:26" ht="15.75" customHeight="1" x14ac:dyDescent="0.2">
      <c r="A1506" s="1" t="s">
        <v>3001</v>
      </c>
      <c r="B1506" s="1" t="s">
        <v>3002</v>
      </c>
      <c r="C1506" s="5" t="str">
        <f ca="1">IFERROR(__xludf.DUMMYFUNCTION("REGEXEXTRACT($B1506, $E$2)"),"wpi")</f>
        <v>wpi</v>
      </c>
      <c r="E1506" s="4"/>
      <c r="F1506" s="4"/>
      <c r="G1506" s="4"/>
      <c r="H1506" s="4"/>
      <c r="I1506" s="4"/>
      <c r="J1506" s="4"/>
      <c r="K1506" s="4"/>
      <c r="L1506" s="4"/>
      <c r="M1506" s="4"/>
      <c r="N1506" s="4"/>
      <c r="O1506" s="4"/>
      <c r="P1506" s="4"/>
      <c r="Q1506" s="4"/>
      <c r="R1506" s="4"/>
      <c r="S1506" s="4"/>
      <c r="T1506" s="4"/>
      <c r="U1506" s="4"/>
      <c r="V1506" s="4"/>
      <c r="W1506" s="4"/>
      <c r="X1506" s="4"/>
      <c r="Y1506" s="4"/>
      <c r="Z1506" s="4"/>
    </row>
    <row r="1507" spans="1:26" ht="15.75" customHeight="1" x14ac:dyDescent="0.2">
      <c r="A1507" s="1" t="s">
        <v>3003</v>
      </c>
      <c r="B1507" s="1" t="s">
        <v>3004</v>
      </c>
      <c r="C1507" s="5" t="str">
        <f ca="1">IFERROR(__xludf.DUMMYFUNCTION("REGEXEXTRACT($B1507, $E$2)"),"worcester")</f>
        <v>worcester</v>
      </c>
      <c r="E1507" s="4"/>
      <c r="F1507" s="4"/>
      <c r="G1507" s="4"/>
      <c r="H1507" s="4"/>
      <c r="I1507" s="4"/>
      <c r="J1507" s="4"/>
      <c r="K1507" s="4"/>
      <c r="L1507" s="4"/>
      <c r="M1507" s="4"/>
      <c r="N1507" s="4"/>
      <c r="O1507" s="4"/>
      <c r="P1507" s="4"/>
      <c r="Q1507" s="4"/>
      <c r="R1507" s="4"/>
      <c r="S1507" s="4"/>
      <c r="T1507" s="4"/>
      <c r="U1507" s="4"/>
      <c r="V1507" s="4"/>
      <c r="W1507" s="4"/>
      <c r="X1507" s="4"/>
      <c r="Y1507" s="4"/>
      <c r="Z1507" s="4"/>
    </row>
    <row r="1508" spans="1:26" ht="15.75" customHeight="1" x14ac:dyDescent="0.2">
      <c r="A1508" s="1" t="s">
        <v>3005</v>
      </c>
      <c r="B1508" s="1" t="s">
        <v>3006</v>
      </c>
      <c r="C1508" s="5" t="str">
        <f ca="1">IFERROR(__xludf.DUMMYFUNCTION("REGEXEXTRACT($B1508, $E$2)"),"wright")</f>
        <v>wright</v>
      </c>
      <c r="E1508" s="4"/>
      <c r="F1508" s="4"/>
      <c r="G1508" s="4"/>
      <c r="H1508" s="4"/>
      <c r="I1508" s="4"/>
      <c r="J1508" s="4"/>
      <c r="K1508" s="4"/>
      <c r="L1508" s="4"/>
      <c r="M1508" s="4"/>
      <c r="N1508" s="4"/>
      <c r="O1508" s="4"/>
      <c r="P1508" s="4"/>
      <c r="Q1508" s="4"/>
      <c r="R1508" s="4"/>
      <c r="S1508" s="4"/>
      <c r="T1508" s="4"/>
      <c r="U1508" s="4"/>
      <c r="V1508" s="4"/>
      <c r="W1508" s="4"/>
      <c r="X1508" s="4"/>
      <c r="Y1508" s="4"/>
      <c r="Z1508" s="4"/>
    </row>
    <row r="1509" spans="1:26" ht="15.75" customHeight="1" x14ac:dyDescent="0.2">
      <c r="A1509" s="1" t="s">
        <v>3007</v>
      </c>
      <c r="B1509" s="1" t="s">
        <v>3008</v>
      </c>
      <c r="C1509" s="5" t="str">
        <f ca="1">IFERROR(__xludf.DUMMYFUNCTION("REGEXEXTRACT($B1509, $E$2)"),"xavier")</f>
        <v>xavier</v>
      </c>
      <c r="E1509" s="4"/>
      <c r="F1509" s="4"/>
      <c r="G1509" s="4"/>
      <c r="H1509" s="4"/>
      <c r="I1509" s="4"/>
      <c r="J1509" s="4"/>
      <c r="K1509" s="4"/>
      <c r="L1509" s="4"/>
      <c r="M1509" s="4"/>
      <c r="N1509" s="4"/>
      <c r="O1509" s="4"/>
      <c r="P1509" s="4"/>
      <c r="Q1509" s="4"/>
      <c r="R1509" s="4"/>
      <c r="S1509" s="4"/>
      <c r="T1509" s="4"/>
      <c r="U1509" s="4"/>
      <c r="V1509" s="4"/>
      <c r="W1509" s="4"/>
      <c r="X1509" s="4"/>
      <c r="Y1509" s="4"/>
      <c r="Z1509" s="4"/>
    </row>
    <row r="1510" spans="1:26" ht="15.75" customHeight="1" x14ac:dyDescent="0.2">
      <c r="A1510" s="1" t="s">
        <v>3007</v>
      </c>
      <c r="B1510" s="1" t="s">
        <v>3009</v>
      </c>
      <c r="C1510" s="5" t="str">
        <f ca="1">IFERROR(__xludf.DUMMYFUNCTION("REGEXEXTRACT($B1510, $E$2)"),"xula")</f>
        <v>xula</v>
      </c>
      <c r="E1510" s="4"/>
      <c r="F1510" s="4"/>
      <c r="G1510" s="4"/>
      <c r="H1510" s="4"/>
      <c r="I1510" s="4"/>
      <c r="J1510" s="4"/>
      <c r="K1510" s="4"/>
      <c r="L1510" s="4"/>
      <c r="M1510" s="4"/>
      <c r="N1510" s="4"/>
      <c r="O1510" s="4"/>
      <c r="P1510" s="4"/>
      <c r="Q1510" s="4"/>
      <c r="R1510" s="4"/>
      <c r="S1510" s="4"/>
      <c r="T1510" s="4"/>
      <c r="U1510" s="4"/>
      <c r="V1510" s="4"/>
      <c r="W1510" s="4"/>
      <c r="X1510" s="4"/>
      <c r="Y1510" s="4"/>
      <c r="Z1510" s="4"/>
    </row>
    <row r="1511" spans="1:26" ht="15.75" customHeight="1" x14ac:dyDescent="0.2">
      <c r="A1511" s="1" t="s">
        <v>3010</v>
      </c>
      <c r="B1511" s="1" t="s">
        <v>3011</v>
      </c>
      <c r="C1511" s="5" t="str">
        <f ca="1">IFERROR(__xludf.DUMMYFUNCTION("REGEXEXTRACT($B1511, $E$2)"),"yale")</f>
        <v>yale</v>
      </c>
      <c r="E1511" s="4"/>
      <c r="F1511" s="4"/>
      <c r="G1511" s="4"/>
      <c r="H1511" s="4"/>
      <c r="I1511" s="4"/>
      <c r="J1511" s="4"/>
      <c r="K1511" s="4"/>
      <c r="L1511" s="4"/>
      <c r="M1511" s="4"/>
      <c r="N1511" s="4"/>
      <c r="O1511" s="4"/>
      <c r="P1511" s="4"/>
      <c r="Q1511" s="4"/>
      <c r="R1511" s="4"/>
      <c r="S1511" s="4"/>
      <c r="T1511" s="4"/>
      <c r="U1511" s="4"/>
      <c r="V1511" s="4"/>
      <c r="W1511" s="4"/>
      <c r="X1511" s="4"/>
      <c r="Y1511" s="4"/>
      <c r="Z1511" s="4"/>
    </row>
    <row r="1512" spans="1:26" ht="15.75" customHeight="1" x14ac:dyDescent="0.2">
      <c r="A1512" s="1" t="s">
        <v>3012</v>
      </c>
      <c r="B1512" s="1" t="s">
        <v>3013</v>
      </c>
      <c r="C1512" s="5" t="str">
        <f ca="1">IFERROR(__xludf.DUMMYFUNCTION("REGEXEXTRACT($B1512, $E$2)"),"yu")</f>
        <v>yu</v>
      </c>
      <c r="E1512" s="4"/>
      <c r="F1512" s="4"/>
      <c r="G1512" s="4"/>
      <c r="H1512" s="4"/>
      <c r="I1512" s="4"/>
      <c r="J1512" s="4"/>
      <c r="K1512" s="4"/>
      <c r="L1512" s="4"/>
      <c r="M1512" s="4"/>
      <c r="N1512" s="4"/>
      <c r="O1512" s="4"/>
      <c r="P1512" s="4"/>
      <c r="Q1512" s="4"/>
      <c r="R1512" s="4"/>
      <c r="S1512" s="4"/>
      <c r="T1512" s="4"/>
      <c r="U1512" s="4"/>
      <c r="V1512" s="4"/>
      <c r="W1512" s="4"/>
      <c r="X1512" s="4"/>
      <c r="Y1512" s="4"/>
      <c r="Z1512" s="4"/>
    </row>
    <row r="1513" spans="1:26" ht="15.75" customHeight="1" x14ac:dyDescent="0.2">
      <c r="A1513" s="1" t="s">
        <v>3014</v>
      </c>
      <c r="B1513" s="1" t="s">
        <v>3015</v>
      </c>
      <c r="C1513" s="5" t="str">
        <f ca="1">IFERROR(__xludf.DUMMYFUNCTION("REGEXEXTRACT($B1513, $E$2)"),"ycp")</f>
        <v>ycp</v>
      </c>
      <c r="E1513" s="4"/>
      <c r="F1513" s="4"/>
      <c r="G1513" s="4"/>
      <c r="H1513" s="4"/>
      <c r="I1513" s="4"/>
      <c r="J1513" s="4"/>
      <c r="K1513" s="4"/>
      <c r="L1513" s="4"/>
      <c r="M1513" s="4"/>
      <c r="N1513" s="4"/>
      <c r="O1513" s="4"/>
      <c r="P1513" s="4"/>
      <c r="Q1513" s="4"/>
      <c r="R1513" s="4"/>
      <c r="S1513" s="4"/>
      <c r="T1513" s="4"/>
      <c r="U1513" s="4"/>
      <c r="V1513" s="4"/>
      <c r="W1513" s="4"/>
      <c r="X1513" s="4"/>
      <c r="Y1513" s="4"/>
      <c r="Z1513" s="4"/>
    </row>
    <row r="1514" spans="1:26" ht="15.75" customHeight="1" x14ac:dyDescent="0.2">
      <c r="A1514" s="1" t="s">
        <v>3014</v>
      </c>
      <c r="B1514" s="1" t="s">
        <v>3016</v>
      </c>
      <c r="C1514" s="5" t="str">
        <f ca="1">IFERROR(__xludf.DUMMYFUNCTION("REGEXEXTRACT($B1514, $E$2)"),"york")</f>
        <v>york</v>
      </c>
      <c r="E1514" s="4"/>
      <c r="F1514" s="4"/>
      <c r="G1514" s="4"/>
      <c r="H1514" s="4"/>
      <c r="I1514" s="4"/>
      <c r="J1514" s="4"/>
      <c r="K1514" s="4"/>
      <c r="L1514" s="4"/>
      <c r="M1514" s="4"/>
      <c r="N1514" s="4"/>
      <c r="O1514" s="4"/>
      <c r="P1514" s="4"/>
      <c r="Q1514" s="4"/>
      <c r="R1514" s="4"/>
      <c r="S1514" s="4"/>
      <c r="T1514" s="4"/>
      <c r="U1514" s="4"/>
      <c r="V1514" s="4"/>
      <c r="W1514" s="4"/>
      <c r="X1514" s="4"/>
      <c r="Y1514" s="4"/>
      <c r="Z1514" s="4"/>
    </row>
    <row r="1515" spans="1:26" ht="15.75" customHeight="1" x14ac:dyDescent="0.2">
      <c r="A1515" s="1" t="s">
        <v>3017</v>
      </c>
      <c r="B1515" s="1" t="s">
        <v>3018</v>
      </c>
      <c r="C1515" s="5" t="str">
        <f ca="1">IFERROR(__xludf.DUMMYFUNCTION("REGEXEXTRACT($B1515, $E$2)"),"yhc")</f>
        <v>yhc</v>
      </c>
      <c r="E1515" s="4"/>
      <c r="F1515" s="4"/>
      <c r="G1515" s="4"/>
      <c r="H1515" s="4"/>
      <c r="I1515" s="4"/>
      <c r="J1515" s="4"/>
      <c r="K1515" s="4"/>
      <c r="L1515" s="4"/>
      <c r="M1515" s="4"/>
      <c r="N1515" s="4"/>
      <c r="O1515" s="4"/>
      <c r="P1515" s="4"/>
      <c r="Q1515" s="4"/>
      <c r="R1515" s="4"/>
      <c r="S1515" s="4"/>
      <c r="T1515" s="4"/>
      <c r="U1515" s="4"/>
      <c r="V1515" s="4"/>
      <c r="W1515" s="4"/>
      <c r="X1515" s="4"/>
      <c r="Y1515" s="4"/>
      <c r="Z1515" s="4"/>
    </row>
    <row r="1516" spans="1:26" ht="15.75" customHeight="1" x14ac:dyDescent="0.2">
      <c r="A1516" s="1" t="s">
        <v>3019</v>
      </c>
      <c r="B1516" s="1" t="s">
        <v>3020</v>
      </c>
      <c r="C1516" s="5" t="str">
        <f ca="1">IFERROR(__xludf.DUMMYFUNCTION("REGEXEXTRACT($B1516, $E$2)"),"ysu")</f>
        <v>ysu</v>
      </c>
      <c r="E1516" s="4"/>
      <c r="F1516" s="4"/>
      <c r="G1516" s="4"/>
      <c r="H1516" s="4"/>
      <c r="I1516" s="4"/>
      <c r="J1516" s="4"/>
      <c r="K1516" s="4"/>
      <c r="L1516" s="4"/>
      <c r="M1516" s="4"/>
      <c r="N1516" s="4"/>
      <c r="O1516" s="4"/>
      <c r="P1516" s="4"/>
      <c r="Q1516" s="4"/>
      <c r="R1516" s="4"/>
      <c r="S1516" s="4"/>
      <c r="T1516" s="4"/>
      <c r="U1516" s="4"/>
      <c r="V1516" s="4"/>
      <c r="W1516" s="4"/>
      <c r="X1516" s="4"/>
      <c r="Y1516" s="4"/>
      <c r="Z1516" s="4"/>
    </row>
    <row r="1517" spans="1:26" ht="15.75" customHeight="1" x14ac:dyDescent="0.15">
      <c r="E1517" s="4"/>
      <c r="F1517" s="4"/>
      <c r="G1517" s="4"/>
      <c r="H1517" s="4"/>
      <c r="I1517" s="4"/>
      <c r="J1517" s="4"/>
      <c r="K1517" s="4"/>
      <c r="L1517" s="4"/>
      <c r="M1517" s="4"/>
      <c r="N1517" s="4"/>
      <c r="O1517" s="4"/>
      <c r="P1517" s="4"/>
      <c r="Q1517" s="4"/>
      <c r="R1517" s="4"/>
      <c r="S1517" s="4"/>
      <c r="T1517" s="4"/>
      <c r="U1517" s="4"/>
      <c r="V1517" s="4"/>
      <c r="W1517" s="4"/>
      <c r="X1517" s="4"/>
      <c r="Y1517" s="4"/>
      <c r="Z1517" s="4"/>
    </row>
    <row r="1518" spans="1:26" ht="15.75" customHeight="1" x14ac:dyDescent="0.15">
      <c r="E1518" s="4"/>
      <c r="F1518" s="4"/>
      <c r="G1518" s="4"/>
      <c r="H1518" s="4"/>
      <c r="I1518" s="4"/>
      <c r="J1518" s="4"/>
      <c r="K1518" s="4"/>
      <c r="L1518" s="4"/>
      <c r="M1518" s="4"/>
      <c r="N1518" s="4"/>
      <c r="O1518" s="4"/>
      <c r="P1518" s="4"/>
      <c r="Q1518" s="4"/>
      <c r="R1518" s="4"/>
      <c r="S1518" s="4"/>
      <c r="T1518" s="4"/>
      <c r="U1518" s="4"/>
      <c r="V1518" s="4"/>
      <c r="W1518" s="4"/>
      <c r="X1518" s="4"/>
      <c r="Y1518" s="4"/>
      <c r="Z1518" s="4"/>
    </row>
    <row r="1519" spans="1:26" ht="15.75" customHeight="1" x14ac:dyDescent="0.15">
      <c r="E1519" s="4"/>
      <c r="F1519" s="4"/>
      <c r="G1519" s="4"/>
      <c r="H1519" s="4"/>
      <c r="I1519" s="4"/>
      <c r="J1519" s="4"/>
      <c r="K1519" s="4"/>
      <c r="L1519" s="4"/>
      <c r="M1519" s="4"/>
      <c r="N1519" s="4"/>
      <c r="O1519" s="4"/>
      <c r="P1519" s="4"/>
      <c r="Q1519" s="4"/>
      <c r="R1519" s="4"/>
      <c r="S1519" s="4"/>
      <c r="T1519" s="4"/>
      <c r="U1519" s="4"/>
      <c r="V1519" s="4"/>
      <c r="W1519" s="4"/>
      <c r="X1519" s="4"/>
      <c r="Y1519" s="4"/>
      <c r="Z1519" s="4"/>
    </row>
    <row r="1520" spans="1:26" ht="15.75" customHeight="1" x14ac:dyDescent="0.15">
      <c r="E1520" s="4"/>
      <c r="F1520" s="4"/>
      <c r="G1520" s="4"/>
      <c r="H1520" s="4"/>
      <c r="I1520" s="4"/>
      <c r="J1520" s="4"/>
      <c r="K1520" s="4"/>
      <c r="L1520" s="4"/>
      <c r="M1520" s="4"/>
      <c r="N1520" s="4"/>
      <c r="O1520" s="4"/>
      <c r="P1520" s="4"/>
      <c r="Q1520" s="4"/>
      <c r="R1520" s="4"/>
      <c r="S1520" s="4"/>
      <c r="T1520" s="4"/>
      <c r="U1520" s="4"/>
      <c r="V1520" s="4"/>
      <c r="W1520" s="4"/>
      <c r="X1520" s="4"/>
      <c r="Y1520" s="4"/>
      <c r="Z1520" s="4"/>
    </row>
    <row r="1521" spans="5:26" ht="15.75" customHeight="1" x14ac:dyDescent="0.15">
      <c r="E1521" s="4"/>
      <c r="F1521" s="4"/>
      <c r="G1521" s="4"/>
      <c r="H1521" s="4"/>
      <c r="I1521" s="4"/>
      <c r="J1521" s="4"/>
      <c r="K1521" s="4"/>
      <c r="L1521" s="4"/>
      <c r="M1521" s="4"/>
      <c r="N1521" s="4"/>
      <c r="O1521" s="4"/>
      <c r="P1521" s="4"/>
      <c r="Q1521" s="4"/>
      <c r="R1521" s="4"/>
      <c r="S1521" s="4"/>
      <c r="T1521" s="4"/>
      <c r="U1521" s="4"/>
      <c r="V1521" s="4"/>
      <c r="W1521" s="4"/>
      <c r="X1521" s="4"/>
      <c r="Y1521" s="4"/>
      <c r="Z1521" s="4"/>
    </row>
    <row r="1522" spans="5:26" ht="15.75" customHeight="1" x14ac:dyDescent="0.15">
      <c r="E1522" s="4"/>
      <c r="F1522" s="4"/>
      <c r="G1522" s="4"/>
      <c r="H1522" s="4"/>
      <c r="I1522" s="4"/>
      <c r="J1522" s="4"/>
      <c r="K1522" s="4"/>
      <c r="L1522" s="4"/>
      <c r="M1522" s="4"/>
      <c r="N1522" s="4"/>
      <c r="O1522" s="4"/>
      <c r="P1522" s="4"/>
      <c r="Q1522" s="4"/>
      <c r="R1522" s="4"/>
      <c r="S1522" s="4"/>
      <c r="T1522" s="4"/>
      <c r="U1522" s="4"/>
      <c r="V1522" s="4"/>
      <c r="W1522" s="4"/>
      <c r="X1522" s="4"/>
      <c r="Y1522" s="4"/>
      <c r="Z1522" s="4"/>
    </row>
    <row r="1523" spans="5:26" ht="15.75" customHeight="1" x14ac:dyDescent="0.15">
      <c r="E1523" s="4"/>
      <c r="F1523" s="4"/>
      <c r="G1523" s="4"/>
      <c r="H1523" s="4"/>
      <c r="I1523" s="4"/>
      <c r="J1523" s="4"/>
      <c r="K1523" s="4"/>
      <c r="L1523" s="4"/>
      <c r="M1523" s="4"/>
      <c r="N1523" s="4"/>
      <c r="O1523" s="4"/>
      <c r="P1523" s="4"/>
      <c r="Q1523" s="4"/>
      <c r="R1523" s="4"/>
      <c r="S1523" s="4"/>
      <c r="T1523" s="4"/>
      <c r="U1523" s="4"/>
      <c r="V1523" s="4"/>
      <c r="W1523" s="4"/>
      <c r="X1523" s="4"/>
      <c r="Y1523" s="4"/>
      <c r="Z1523" s="4"/>
    </row>
    <row r="1524" spans="5:26" ht="15.75" customHeight="1" x14ac:dyDescent="0.15">
      <c r="E1524" s="4"/>
      <c r="F1524" s="4"/>
      <c r="G1524" s="4"/>
      <c r="H1524" s="4"/>
      <c r="I1524" s="4"/>
      <c r="J1524" s="4"/>
      <c r="K1524" s="4"/>
      <c r="L1524" s="4"/>
      <c r="M1524" s="4"/>
      <c r="N1524" s="4"/>
      <c r="O1524" s="4"/>
      <c r="P1524" s="4"/>
      <c r="Q1524" s="4"/>
      <c r="R1524" s="4"/>
      <c r="S1524" s="4"/>
      <c r="T1524" s="4"/>
      <c r="U1524" s="4"/>
      <c r="V1524" s="4"/>
      <c r="W1524" s="4"/>
      <c r="X1524" s="4"/>
      <c r="Y1524" s="4"/>
      <c r="Z1524" s="4"/>
    </row>
    <row r="1525" spans="5:26" ht="15.75" customHeight="1" x14ac:dyDescent="0.15">
      <c r="E1525" s="4"/>
      <c r="F1525" s="4"/>
      <c r="G1525" s="4"/>
      <c r="H1525" s="4"/>
      <c r="I1525" s="4"/>
      <c r="J1525" s="4"/>
      <c r="K1525" s="4"/>
      <c r="L1525" s="4"/>
      <c r="M1525" s="4"/>
      <c r="N1525" s="4"/>
      <c r="O1525" s="4"/>
      <c r="P1525" s="4"/>
      <c r="Q1525" s="4"/>
      <c r="R1525" s="4"/>
      <c r="S1525" s="4"/>
      <c r="T1525" s="4"/>
      <c r="U1525" s="4"/>
      <c r="V1525" s="4"/>
      <c r="W1525" s="4"/>
      <c r="X1525" s="4"/>
      <c r="Y1525" s="4"/>
      <c r="Z1525" s="4"/>
    </row>
    <row r="1526" spans="5:26" ht="15.75" customHeight="1" x14ac:dyDescent="0.15">
      <c r="E1526" s="4"/>
      <c r="F1526" s="4"/>
      <c r="G1526" s="4"/>
      <c r="H1526" s="4"/>
      <c r="I1526" s="4"/>
      <c r="J1526" s="4"/>
      <c r="K1526" s="4"/>
      <c r="L1526" s="4"/>
      <c r="M1526" s="4"/>
      <c r="N1526" s="4"/>
      <c r="O1526" s="4"/>
      <c r="P1526" s="4"/>
      <c r="Q1526" s="4"/>
      <c r="R1526" s="4"/>
      <c r="S1526" s="4"/>
      <c r="T1526" s="4"/>
      <c r="U1526" s="4"/>
      <c r="V1526" s="4"/>
      <c r="W1526" s="4"/>
      <c r="X1526" s="4"/>
      <c r="Y1526" s="4"/>
      <c r="Z1526" s="4"/>
    </row>
    <row r="1527" spans="5:26" ht="15.75" customHeight="1" x14ac:dyDescent="0.15">
      <c r="E1527" s="4"/>
      <c r="F1527" s="4"/>
      <c r="G1527" s="4"/>
      <c r="H1527" s="4"/>
      <c r="I1527" s="4"/>
      <c r="J1527" s="4"/>
      <c r="K1527" s="4"/>
      <c r="L1527" s="4"/>
      <c r="M1527" s="4"/>
      <c r="N1527" s="4"/>
      <c r="O1527" s="4"/>
      <c r="P1527" s="4"/>
      <c r="Q1527" s="4"/>
      <c r="R1527" s="4"/>
      <c r="S1527" s="4"/>
      <c r="T1527" s="4"/>
      <c r="U1527" s="4"/>
      <c r="V1527" s="4"/>
      <c r="W1527" s="4"/>
      <c r="X1527" s="4"/>
      <c r="Y1527" s="4"/>
      <c r="Z1527" s="4"/>
    </row>
    <row r="1528" spans="5:26" ht="15.75" customHeight="1" x14ac:dyDescent="0.15">
      <c r="E1528" s="4"/>
      <c r="F1528" s="4"/>
      <c r="G1528" s="4"/>
      <c r="H1528" s="4"/>
      <c r="I1528" s="4"/>
      <c r="J1528" s="4"/>
      <c r="K1528" s="4"/>
      <c r="L1528" s="4"/>
      <c r="M1528" s="4"/>
      <c r="N1528" s="4"/>
      <c r="O1528" s="4"/>
      <c r="P1528" s="4"/>
      <c r="Q1528" s="4"/>
      <c r="R1528" s="4"/>
      <c r="S1528" s="4"/>
      <c r="T1528" s="4"/>
      <c r="U1528" s="4"/>
      <c r="V1528" s="4"/>
      <c r="W1528" s="4"/>
      <c r="X1528" s="4"/>
      <c r="Y1528" s="4"/>
      <c r="Z1528" s="4"/>
    </row>
    <row r="1529" spans="5:26" ht="15.75" customHeight="1" x14ac:dyDescent="0.15">
      <c r="E1529" s="4"/>
      <c r="F1529" s="4"/>
      <c r="G1529" s="4"/>
      <c r="H1529" s="4"/>
      <c r="I1529" s="4"/>
      <c r="J1529" s="4"/>
      <c r="K1529" s="4"/>
      <c r="L1529" s="4"/>
      <c r="M1529" s="4"/>
      <c r="N1529" s="4"/>
      <c r="O1529" s="4"/>
      <c r="P1529" s="4"/>
      <c r="Q1529" s="4"/>
      <c r="R1529" s="4"/>
      <c r="S1529" s="4"/>
      <c r="T1529" s="4"/>
      <c r="U1529" s="4"/>
      <c r="V1529" s="4"/>
      <c r="W1529" s="4"/>
      <c r="X1529" s="4"/>
      <c r="Y1529" s="4"/>
      <c r="Z1529" s="4"/>
    </row>
    <row r="1530" spans="5:26" ht="15.75" customHeight="1" x14ac:dyDescent="0.15">
      <c r="E1530" s="4"/>
      <c r="F1530" s="4"/>
      <c r="G1530" s="4"/>
      <c r="H1530" s="4"/>
      <c r="I1530" s="4"/>
      <c r="J1530" s="4"/>
      <c r="K1530" s="4"/>
      <c r="L1530" s="4"/>
      <c r="M1530" s="4"/>
      <c r="N1530" s="4"/>
      <c r="O1530" s="4"/>
      <c r="P1530" s="4"/>
      <c r="Q1530" s="4"/>
      <c r="R1530" s="4"/>
      <c r="S1530" s="4"/>
      <c r="T1530" s="4"/>
      <c r="U1530" s="4"/>
      <c r="V1530" s="4"/>
      <c r="W1530" s="4"/>
      <c r="X1530" s="4"/>
      <c r="Y1530" s="4"/>
      <c r="Z1530" s="4"/>
    </row>
    <row r="1531" spans="5:26" ht="15.75" customHeight="1" x14ac:dyDescent="0.15">
      <c r="E1531" s="4"/>
      <c r="F1531" s="4"/>
      <c r="G1531" s="4"/>
      <c r="H1531" s="4"/>
      <c r="I1531" s="4"/>
      <c r="J1531" s="4"/>
      <c r="K1531" s="4"/>
      <c r="L1531" s="4"/>
      <c r="M1531" s="4"/>
      <c r="N1531" s="4"/>
      <c r="O1531" s="4"/>
      <c r="P1531" s="4"/>
      <c r="Q1531" s="4"/>
      <c r="R1531" s="4"/>
      <c r="S1531" s="4"/>
      <c r="T1531" s="4"/>
      <c r="U1531" s="4"/>
      <c r="V1531" s="4"/>
      <c r="W1531" s="4"/>
      <c r="X1531" s="4"/>
      <c r="Y1531" s="4"/>
      <c r="Z1531" s="4"/>
    </row>
    <row r="1532" spans="5:26" ht="15.75" customHeight="1" x14ac:dyDescent="0.15">
      <c r="E1532" s="4"/>
      <c r="F1532" s="4"/>
      <c r="G1532" s="4"/>
      <c r="H1532" s="4"/>
      <c r="I1532" s="4"/>
      <c r="J1532" s="4"/>
      <c r="K1532" s="4"/>
      <c r="L1532" s="4"/>
      <c r="M1532" s="4"/>
      <c r="N1532" s="4"/>
      <c r="O1532" s="4"/>
      <c r="P1532" s="4"/>
      <c r="Q1532" s="4"/>
      <c r="R1532" s="4"/>
      <c r="S1532" s="4"/>
      <c r="T1532" s="4"/>
      <c r="U1532" s="4"/>
      <c r="V1532" s="4"/>
      <c r="W1532" s="4"/>
      <c r="X1532" s="4"/>
      <c r="Y1532" s="4"/>
      <c r="Z1532" s="4"/>
    </row>
    <row r="1533" spans="5:26" ht="15.75" customHeight="1" x14ac:dyDescent="0.15">
      <c r="E1533" s="4"/>
      <c r="F1533" s="4"/>
      <c r="G1533" s="4"/>
      <c r="H1533" s="4"/>
      <c r="I1533" s="4"/>
      <c r="J1533" s="4"/>
      <c r="K1533" s="4"/>
      <c r="L1533" s="4"/>
      <c r="M1533" s="4"/>
      <c r="N1533" s="4"/>
      <c r="O1533" s="4"/>
      <c r="P1533" s="4"/>
      <c r="Q1533" s="4"/>
      <c r="R1533" s="4"/>
      <c r="S1533" s="4"/>
      <c r="T1533" s="4"/>
      <c r="U1533" s="4"/>
      <c r="V1533" s="4"/>
      <c r="W1533" s="4"/>
      <c r="X1533" s="4"/>
      <c r="Y1533" s="4"/>
      <c r="Z1533" s="4"/>
    </row>
    <row r="1534" spans="5:26" ht="15.75" customHeight="1" x14ac:dyDescent="0.15">
      <c r="E1534" s="4"/>
      <c r="F1534" s="4"/>
      <c r="G1534" s="4"/>
      <c r="H1534" s="4"/>
      <c r="I1534" s="4"/>
      <c r="J1534" s="4"/>
      <c r="K1534" s="4"/>
      <c r="L1534" s="4"/>
      <c r="M1534" s="4"/>
      <c r="N1534" s="4"/>
      <c r="O1534" s="4"/>
      <c r="P1534" s="4"/>
      <c r="Q1534" s="4"/>
      <c r="R1534" s="4"/>
      <c r="S1534" s="4"/>
      <c r="T1534" s="4"/>
      <c r="U1534" s="4"/>
      <c r="V1534" s="4"/>
      <c r="W1534" s="4"/>
      <c r="X1534" s="4"/>
      <c r="Y1534" s="4"/>
      <c r="Z1534" s="4"/>
    </row>
    <row r="1535" spans="5:26" ht="15.75" customHeight="1" x14ac:dyDescent="0.15">
      <c r="E1535" s="4"/>
      <c r="F1535" s="4"/>
      <c r="G1535" s="4"/>
      <c r="H1535" s="4"/>
      <c r="I1535" s="4"/>
      <c r="J1535" s="4"/>
      <c r="K1535" s="4"/>
      <c r="L1535" s="4"/>
      <c r="M1535" s="4"/>
      <c r="N1535" s="4"/>
      <c r="O1535" s="4"/>
      <c r="P1535" s="4"/>
      <c r="Q1535" s="4"/>
      <c r="R1535" s="4"/>
      <c r="S1535" s="4"/>
      <c r="T1535" s="4"/>
      <c r="U1535" s="4"/>
      <c r="V1535" s="4"/>
      <c r="W1535" s="4"/>
      <c r="X1535" s="4"/>
      <c r="Y1535" s="4"/>
      <c r="Z1535" s="4"/>
    </row>
    <row r="1536" spans="5:26" ht="15.75" customHeight="1" x14ac:dyDescent="0.15">
      <c r="E1536" s="4"/>
      <c r="F1536" s="4"/>
      <c r="G1536" s="4"/>
      <c r="H1536" s="4"/>
      <c r="I1536" s="4"/>
      <c r="J1536" s="4"/>
      <c r="K1536" s="4"/>
      <c r="L1536" s="4"/>
      <c r="M1536" s="4"/>
      <c r="N1536" s="4"/>
      <c r="O1536" s="4"/>
      <c r="P1536" s="4"/>
      <c r="Q1536" s="4"/>
      <c r="R1536" s="4"/>
      <c r="S1536" s="4"/>
      <c r="T1536" s="4"/>
      <c r="U1536" s="4"/>
      <c r="V1536" s="4"/>
      <c r="W1536" s="4"/>
      <c r="X1536" s="4"/>
      <c r="Y1536" s="4"/>
      <c r="Z1536" s="4"/>
    </row>
    <row r="1537" spans="5:26" ht="15.75" customHeight="1" x14ac:dyDescent="0.15">
      <c r="E1537" s="4"/>
      <c r="F1537" s="4"/>
      <c r="G1537" s="4"/>
      <c r="H1537" s="4"/>
      <c r="I1537" s="4"/>
      <c r="J1537" s="4"/>
      <c r="K1537" s="4"/>
      <c r="L1537" s="4"/>
      <c r="M1537" s="4"/>
      <c r="N1537" s="4"/>
      <c r="O1537" s="4"/>
      <c r="P1537" s="4"/>
      <c r="Q1537" s="4"/>
      <c r="R1537" s="4"/>
      <c r="S1537" s="4"/>
      <c r="T1537" s="4"/>
      <c r="U1537" s="4"/>
      <c r="V1537" s="4"/>
      <c r="W1537" s="4"/>
      <c r="X1537" s="4"/>
      <c r="Y1537" s="4"/>
      <c r="Z1537" s="4"/>
    </row>
    <row r="1538" spans="5:26" ht="15.75" customHeight="1" x14ac:dyDescent="0.15">
      <c r="E1538" s="4"/>
      <c r="F1538" s="4"/>
      <c r="G1538" s="4"/>
      <c r="H1538" s="4"/>
      <c r="I1538" s="4"/>
      <c r="J1538" s="4"/>
      <c r="K1538" s="4"/>
      <c r="L1538" s="4"/>
      <c r="M1538" s="4"/>
      <c r="N1538" s="4"/>
      <c r="O1538" s="4"/>
      <c r="P1538" s="4"/>
      <c r="Q1538" s="4"/>
      <c r="R1538" s="4"/>
      <c r="S1538" s="4"/>
      <c r="T1538" s="4"/>
      <c r="U1538" s="4"/>
      <c r="V1538" s="4"/>
      <c r="W1538" s="4"/>
      <c r="X1538" s="4"/>
      <c r="Y1538" s="4"/>
      <c r="Z1538" s="4"/>
    </row>
    <row r="1539" spans="5:26" ht="15.75" customHeight="1" x14ac:dyDescent="0.15">
      <c r="E1539" s="4"/>
      <c r="F1539" s="4"/>
      <c r="G1539" s="4"/>
      <c r="H1539" s="4"/>
      <c r="I1539" s="4"/>
      <c r="J1539" s="4"/>
      <c r="K1539" s="4"/>
      <c r="L1539" s="4"/>
      <c r="M1539" s="4"/>
      <c r="N1539" s="4"/>
      <c r="O1539" s="4"/>
      <c r="P1539" s="4"/>
      <c r="Q1539" s="4"/>
      <c r="R1539" s="4"/>
      <c r="S1539" s="4"/>
      <c r="T1539" s="4"/>
      <c r="U1539" s="4"/>
      <c r="V1539" s="4"/>
      <c r="W1539" s="4"/>
      <c r="X1539" s="4"/>
      <c r="Y1539" s="4"/>
      <c r="Z1539" s="4"/>
    </row>
    <row r="1540" spans="5:26" ht="15.75" customHeight="1" x14ac:dyDescent="0.15">
      <c r="E1540" s="4"/>
      <c r="F1540" s="4"/>
      <c r="G1540" s="4"/>
      <c r="H1540" s="4"/>
      <c r="I1540" s="4"/>
      <c r="J1540" s="4"/>
      <c r="K1540" s="4"/>
      <c r="L1540" s="4"/>
      <c r="M1540" s="4"/>
      <c r="N1540" s="4"/>
      <c r="O1540" s="4"/>
      <c r="P1540" s="4"/>
      <c r="Q1540" s="4"/>
      <c r="R1540" s="4"/>
      <c r="S1540" s="4"/>
      <c r="T1540" s="4"/>
      <c r="U1540" s="4"/>
      <c r="V1540" s="4"/>
      <c r="W1540" s="4"/>
      <c r="X1540" s="4"/>
      <c r="Y1540" s="4"/>
      <c r="Z1540" s="4"/>
    </row>
    <row r="1541" spans="5:26" ht="15.75" customHeight="1" x14ac:dyDescent="0.15">
      <c r="E1541" s="4"/>
      <c r="F1541" s="4"/>
      <c r="G1541" s="4"/>
      <c r="H1541" s="4"/>
      <c r="I1541" s="4"/>
      <c r="J1541" s="4"/>
      <c r="K1541" s="4"/>
      <c r="L1541" s="4"/>
      <c r="M1541" s="4"/>
      <c r="N1541" s="4"/>
      <c r="O1541" s="4"/>
      <c r="P1541" s="4"/>
      <c r="Q1541" s="4"/>
      <c r="R1541" s="4"/>
      <c r="S1541" s="4"/>
      <c r="T1541" s="4"/>
      <c r="U1541" s="4"/>
      <c r="V1541" s="4"/>
      <c r="W1541" s="4"/>
      <c r="X1541" s="4"/>
      <c r="Y1541" s="4"/>
      <c r="Z1541" s="4"/>
    </row>
    <row r="1542" spans="5:26" ht="15.75" customHeight="1" x14ac:dyDescent="0.15">
      <c r="E1542" s="4"/>
      <c r="F1542" s="4"/>
      <c r="G1542" s="4"/>
      <c r="H1542" s="4"/>
      <c r="I1542" s="4"/>
      <c r="J1542" s="4"/>
      <c r="K1542" s="4"/>
      <c r="L1542" s="4"/>
      <c r="M1542" s="4"/>
      <c r="N1542" s="4"/>
      <c r="O1542" s="4"/>
      <c r="P1542" s="4"/>
      <c r="Q1542" s="4"/>
      <c r="R1542" s="4"/>
      <c r="S1542" s="4"/>
      <c r="T1542" s="4"/>
      <c r="U1542" s="4"/>
      <c r="V1542" s="4"/>
      <c r="W1542" s="4"/>
      <c r="X1542" s="4"/>
      <c r="Y1542" s="4"/>
      <c r="Z1542" s="4"/>
    </row>
    <row r="1543" spans="5:26" ht="15.75" customHeight="1" x14ac:dyDescent="0.15">
      <c r="E1543" s="4"/>
      <c r="F1543" s="4"/>
      <c r="G1543" s="4"/>
      <c r="H1543" s="4"/>
      <c r="I1543" s="4"/>
      <c r="J1543" s="4"/>
      <c r="K1543" s="4"/>
      <c r="L1543" s="4"/>
      <c r="M1543" s="4"/>
      <c r="N1543" s="4"/>
      <c r="O1543" s="4"/>
      <c r="P1543" s="4"/>
      <c r="Q1543" s="4"/>
      <c r="R1543" s="4"/>
      <c r="S1543" s="4"/>
      <c r="T1543" s="4"/>
      <c r="U1543" s="4"/>
      <c r="V1543" s="4"/>
      <c r="W1543" s="4"/>
      <c r="X1543" s="4"/>
      <c r="Y1543" s="4"/>
      <c r="Z1543" s="4"/>
    </row>
    <row r="1544" spans="5:26" ht="15.75" customHeight="1" x14ac:dyDescent="0.15">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5:26" ht="15.75" customHeight="1" x14ac:dyDescent="0.15">
      <c r="E1545" s="4"/>
      <c r="F1545" s="4"/>
      <c r="G1545" s="4"/>
      <c r="H1545" s="4"/>
      <c r="I1545" s="4"/>
      <c r="J1545" s="4"/>
      <c r="K1545" s="4"/>
      <c r="L1545" s="4"/>
      <c r="M1545" s="4"/>
      <c r="N1545" s="4"/>
      <c r="O1545" s="4"/>
      <c r="P1545" s="4"/>
      <c r="Q1545" s="4"/>
      <c r="R1545" s="4"/>
      <c r="S1545" s="4"/>
      <c r="T1545" s="4"/>
      <c r="U1545" s="4"/>
      <c r="V1545" s="4"/>
      <c r="W1545" s="4"/>
      <c r="X1545" s="4"/>
      <c r="Y1545" s="4"/>
      <c r="Z1545" s="4"/>
    </row>
    <row r="1546" spans="5:26" ht="15.75" customHeight="1" x14ac:dyDescent="0.15">
      <c r="E1546" s="4"/>
      <c r="F1546" s="4"/>
      <c r="G1546" s="4"/>
      <c r="H1546" s="4"/>
      <c r="I1546" s="4"/>
      <c r="J1546" s="4"/>
      <c r="K1546" s="4"/>
      <c r="L1546" s="4"/>
      <c r="M1546" s="4"/>
      <c r="N1546" s="4"/>
      <c r="O1546" s="4"/>
      <c r="P1546" s="4"/>
      <c r="Q1546" s="4"/>
      <c r="R1546" s="4"/>
      <c r="S1546" s="4"/>
      <c r="T1546" s="4"/>
      <c r="U1546" s="4"/>
      <c r="V1546" s="4"/>
      <c r="W1546" s="4"/>
      <c r="X1546" s="4"/>
      <c r="Y1546" s="4"/>
      <c r="Z1546" s="4"/>
    </row>
    <row r="1547" spans="5:26" ht="15.75" customHeight="1" x14ac:dyDescent="0.15">
      <c r="E1547" s="4"/>
      <c r="F1547" s="4"/>
      <c r="G1547" s="4"/>
      <c r="H1547" s="4"/>
      <c r="I1547" s="4"/>
      <c r="J1547" s="4"/>
      <c r="K1547" s="4"/>
      <c r="L1547" s="4"/>
      <c r="M1547" s="4"/>
      <c r="N1547" s="4"/>
      <c r="O1547" s="4"/>
      <c r="P1547" s="4"/>
      <c r="Q1547" s="4"/>
      <c r="R1547" s="4"/>
      <c r="S1547" s="4"/>
      <c r="T1547" s="4"/>
      <c r="U1547" s="4"/>
      <c r="V1547" s="4"/>
      <c r="W1547" s="4"/>
      <c r="X1547" s="4"/>
      <c r="Y1547" s="4"/>
      <c r="Z1547" s="4"/>
    </row>
    <row r="1548" spans="5:26" ht="15.75" customHeight="1" x14ac:dyDescent="0.15">
      <c r="E1548" s="4"/>
      <c r="F1548" s="4"/>
      <c r="G1548" s="4"/>
      <c r="H1548" s="4"/>
      <c r="I1548" s="4"/>
      <c r="J1548" s="4"/>
      <c r="K1548" s="4"/>
      <c r="L1548" s="4"/>
      <c r="M1548" s="4"/>
      <c r="N1548" s="4"/>
      <c r="O1548" s="4"/>
      <c r="P1548" s="4"/>
      <c r="Q1548" s="4"/>
      <c r="R1548" s="4"/>
      <c r="S1548" s="4"/>
      <c r="T1548" s="4"/>
      <c r="U1548" s="4"/>
      <c r="V1548" s="4"/>
      <c r="W1548" s="4"/>
      <c r="X1548" s="4"/>
      <c r="Y1548" s="4"/>
      <c r="Z1548" s="4"/>
    </row>
    <row r="1549" spans="5:26" ht="15.75" customHeight="1" x14ac:dyDescent="0.15">
      <c r="E1549" s="4"/>
      <c r="F1549" s="4"/>
      <c r="G1549" s="4"/>
      <c r="H1549" s="4"/>
      <c r="I1549" s="4"/>
      <c r="J1549" s="4"/>
      <c r="K1549" s="4"/>
      <c r="L1549" s="4"/>
      <c r="M1549" s="4"/>
      <c r="N1549" s="4"/>
      <c r="O1549" s="4"/>
      <c r="P1549" s="4"/>
      <c r="Q1549" s="4"/>
      <c r="R1549" s="4"/>
      <c r="S1549" s="4"/>
      <c r="T1549" s="4"/>
      <c r="U1549" s="4"/>
      <c r="V1549" s="4"/>
      <c r="W1549" s="4"/>
      <c r="X1549" s="4"/>
      <c r="Y1549" s="4"/>
      <c r="Z1549" s="4"/>
    </row>
    <row r="1550" spans="5:26" ht="15.75" customHeight="1" x14ac:dyDescent="0.15">
      <c r="E1550" s="4"/>
      <c r="F1550" s="4"/>
      <c r="G1550" s="4"/>
      <c r="H1550" s="4"/>
      <c r="I1550" s="4"/>
      <c r="J1550" s="4"/>
      <c r="K1550" s="4"/>
      <c r="L1550" s="4"/>
      <c r="M1550" s="4"/>
      <c r="N1550" s="4"/>
      <c r="O1550" s="4"/>
      <c r="P1550" s="4"/>
      <c r="Q1550" s="4"/>
      <c r="R1550" s="4"/>
      <c r="S1550" s="4"/>
      <c r="T1550" s="4"/>
      <c r="U1550" s="4"/>
      <c r="V1550" s="4"/>
      <c r="W1550" s="4"/>
      <c r="X1550" s="4"/>
      <c r="Y1550" s="4"/>
      <c r="Z1550" s="4"/>
    </row>
    <row r="1551" spans="5:26" ht="15.75" customHeight="1" x14ac:dyDescent="0.15">
      <c r="E1551" s="4"/>
      <c r="F1551" s="4"/>
      <c r="G1551" s="4"/>
      <c r="H1551" s="4"/>
      <c r="I1551" s="4"/>
      <c r="J1551" s="4"/>
      <c r="K1551" s="4"/>
      <c r="L1551" s="4"/>
      <c r="M1551" s="4"/>
      <c r="N1551" s="4"/>
      <c r="O1551" s="4"/>
      <c r="P1551" s="4"/>
      <c r="Q1551" s="4"/>
      <c r="R1551" s="4"/>
      <c r="S1551" s="4"/>
      <c r="T1551" s="4"/>
      <c r="U1551" s="4"/>
      <c r="V1551" s="4"/>
      <c r="W1551" s="4"/>
      <c r="X1551" s="4"/>
      <c r="Y1551" s="4"/>
      <c r="Z1551" s="4"/>
    </row>
    <row r="1552" spans="5:26" ht="15.75" customHeight="1" x14ac:dyDescent="0.15">
      <c r="E1552" s="4"/>
      <c r="F1552" s="4"/>
      <c r="G1552" s="4"/>
      <c r="H1552" s="4"/>
      <c r="I1552" s="4"/>
      <c r="J1552" s="4"/>
      <c r="K1552" s="4"/>
      <c r="L1552" s="4"/>
      <c r="M1552" s="4"/>
      <c r="N1552" s="4"/>
      <c r="O1552" s="4"/>
      <c r="P1552" s="4"/>
      <c r="Q1552" s="4"/>
      <c r="R1552" s="4"/>
      <c r="S1552" s="4"/>
      <c r="T1552" s="4"/>
      <c r="U1552" s="4"/>
      <c r="V1552" s="4"/>
      <c r="W1552" s="4"/>
      <c r="X1552" s="4"/>
      <c r="Y1552" s="4"/>
      <c r="Z1552" s="4"/>
    </row>
    <row r="1553" spans="5:26" ht="15.75" customHeight="1" x14ac:dyDescent="0.15">
      <c r="E1553" s="4"/>
      <c r="F1553" s="4"/>
      <c r="G1553" s="4"/>
      <c r="H1553" s="4"/>
      <c r="I1553" s="4"/>
      <c r="J1553" s="4"/>
      <c r="K1553" s="4"/>
      <c r="L1553" s="4"/>
      <c r="M1553" s="4"/>
      <c r="N1553" s="4"/>
      <c r="O1553" s="4"/>
      <c r="P1553" s="4"/>
      <c r="Q1553" s="4"/>
      <c r="R1553" s="4"/>
      <c r="S1553" s="4"/>
      <c r="T1553" s="4"/>
      <c r="U1553" s="4"/>
      <c r="V1553" s="4"/>
      <c r="W1553" s="4"/>
      <c r="X1553" s="4"/>
      <c r="Y1553" s="4"/>
      <c r="Z1553" s="4"/>
    </row>
    <row r="1554" spans="5:26" ht="15.75" customHeight="1" x14ac:dyDescent="0.15">
      <c r="E1554" s="4"/>
      <c r="F1554" s="4"/>
      <c r="G1554" s="4"/>
      <c r="H1554" s="4"/>
      <c r="I1554" s="4"/>
      <c r="J1554" s="4"/>
      <c r="K1554" s="4"/>
      <c r="L1554" s="4"/>
      <c r="M1554" s="4"/>
      <c r="N1554" s="4"/>
      <c r="O1554" s="4"/>
      <c r="P1554" s="4"/>
      <c r="Q1554" s="4"/>
      <c r="R1554" s="4"/>
      <c r="S1554" s="4"/>
      <c r="T1554" s="4"/>
      <c r="U1554" s="4"/>
      <c r="V1554" s="4"/>
      <c r="W1554" s="4"/>
      <c r="X1554" s="4"/>
      <c r="Y1554" s="4"/>
      <c r="Z1554" s="4"/>
    </row>
    <row r="1555" spans="5:26" ht="15.75" customHeight="1" x14ac:dyDescent="0.15">
      <c r="E1555" s="4"/>
      <c r="F1555" s="4"/>
      <c r="G1555" s="4"/>
      <c r="H1555" s="4"/>
      <c r="I1555" s="4"/>
      <c r="J1555" s="4"/>
      <c r="K1555" s="4"/>
      <c r="L1555" s="4"/>
      <c r="M1555" s="4"/>
      <c r="N1555" s="4"/>
      <c r="O1555" s="4"/>
      <c r="P1555" s="4"/>
      <c r="Q1555" s="4"/>
      <c r="R1555" s="4"/>
      <c r="S1555" s="4"/>
      <c r="T1555" s="4"/>
      <c r="U1555" s="4"/>
      <c r="V1555" s="4"/>
      <c r="W1555" s="4"/>
      <c r="X1555" s="4"/>
      <c r="Y1555" s="4"/>
      <c r="Z1555" s="4"/>
    </row>
    <row r="1556" spans="5:26" ht="15.75" customHeight="1" x14ac:dyDescent="0.15">
      <c r="E1556" s="4"/>
      <c r="F1556" s="4"/>
      <c r="G1556" s="4"/>
      <c r="H1556" s="4"/>
      <c r="I1556" s="4"/>
      <c r="J1556" s="4"/>
      <c r="K1556" s="4"/>
      <c r="L1556" s="4"/>
      <c r="M1556" s="4"/>
      <c r="N1556" s="4"/>
      <c r="O1556" s="4"/>
      <c r="P1556" s="4"/>
      <c r="Q1556" s="4"/>
      <c r="R1556" s="4"/>
      <c r="S1556" s="4"/>
      <c r="T1556" s="4"/>
      <c r="U1556" s="4"/>
      <c r="V1556" s="4"/>
      <c r="W1556" s="4"/>
      <c r="X1556" s="4"/>
      <c r="Y1556" s="4"/>
      <c r="Z1556" s="4"/>
    </row>
    <row r="1557" spans="5:26" ht="15.75" customHeight="1" x14ac:dyDescent="0.15">
      <c r="E1557" s="4"/>
      <c r="F1557" s="4"/>
      <c r="G1557" s="4"/>
      <c r="H1557" s="4"/>
      <c r="I1557" s="4"/>
      <c r="J1557" s="4"/>
      <c r="K1557" s="4"/>
      <c r="L1557" s="4"/>
      <c r="M1557" s="4"/>
      <c r="N1557" s="4"/>
      <c r="O1557" s="4"/>
      <c r="P1557" s="4"/>
      <c r="Q1557" s="4"/>
      <c r="R1557" s="4"/>
      <c r="S1557" s="4"/>
      <c r="T1557" s="4"/>
      <c r="U1557" s="4"/>
      <c r="V1557" s="4"/>
      <c r="W1557" s="4"/>
      <c r="X1557" s="4"/>
      <c r="Y1557" s="4"/>
      <c r="Z1557" s="4"/>
    </row>
    <row r="1558" spans="5:26" ht="15.75" customHeight="1" x14ac:dyDescent="0.15">
      <c r="E1558" s="4"/>
      <c r="F1558" s="4"/>
      <c r="G1558" s="4"/>
      <c r="H1558" s="4"/>
      <c r="I1558" s="4"/>
      <c r="J1558" s="4"/>
      <c r="K1558" s="4"/>
      <c r="L1558" s="4"/>
      <c r="M1558" s="4"/>
      <c r="N1558" s="4"/>
      <c r="O1558" s="4"/>
      <c r="P1558" s="4"/>
      <c r="Q1558" s="4"/>
      <c r="R1558" s="4"/>
      <c r="S1558" s="4"/>
      <c r="T1558" s="4"/>
      <c r="U1558" s="4"/>
      <c r="V1558" s="4"/>
      <c r="W1558" s="4"/>
      <c r="X1558" s="4"/>
      <c r="Y1558" s="4"/>
      <c r="Z1558" s="4"/>
    </row>
    <row r="1559" spans="5:26" ht="15.75" customHeight="1" x14ac:dyDescent="0.15">
      <c r="E1559" s="4"/>
      <c r="F1559" s="4"/>
      <c r="G1559" s="4"/>
      <c r="H1559" s="4"/>
      <c r="I1559" s="4"/>
      <c r="J1559" s="4"/>
      <c r="K1559" s="4"/>
      <c r="L1559" s="4"/>
      <c r="M1559" s="4"/>
      <c r="N1559" s="4"/>
      <c r="O1559" s="4"/>
      <c r="P1559" s="4"/>
      <c r="Q1559" s="4"/>
      <c r="R1559" s="4"/>
      <c r="S1559" s="4"/>
      <c r="T1559" s="4"/>
      <c r="U1559" s="4"/>
      <c r="V1559" s="4"/>
      <c r="W1559" s="4"/>
      <c r="X1559" s="4"/>
      <c r="Y1559" s="4"/>
      <c r="Z1559" s="4"/>
    </row>
    <row r="1560" spans="5:26" ht="15.75" customHeight="1" x14ac:dyDescent="0.15">
      <c r="E1560" s="4"/>
      <c r="F1560" s="4"/>
      <c r="G1560" s="4"/>
      <c r="H1560" s="4"/>
      <c r="I1560" s="4"/>
      <c r="J1560" s="4"/>
      <c r="K1560" s="4"/>
      <c r="L1560" s="4"/>
      <c r="M1560" s="4"/>
      <c r="N1560" s="4"/>
      <c r="O1560" s="4"/>
      <c r="P1560" s="4"/>
      <c r="Q1560" s="4"/>
      <c r="R1560" s="4"/>
      <c r="S1560" s="4"/>
      <c r="T1560" s="4"/>
      <c r="U1560" s="4"/>
      <c r="V1560" s="4"/>
      <c r="W1560" s="4"/>
      <c r="X1560" s="4"/>
      <c r="Y1560" s="4"/>
      <c r="Z1560" s="4"/>
    </row>
    <row r="1561" spans="5:26" ht="15.75" customHeight="1" x14ac:dyDescent="0.15">
      <c r="E1561" s="4"/>
      <c r="F1561" s="4"/>
      <c r="G1561" s="4"/>
      <c r="H1561" s="4"/>
      <c r="I1561" s="4"/>
      <c r="J1561" s="4"/>
      <c r="K1561" s="4"/>
      <c r="L1561" s="4"/>
      <c r="M1561" s="4"/>
      <c r="N1561" s="4"/>
      <c r="O1561" s="4"/>
      <c r="P1561" s="4"/>
      <c r="Q1561" s="4"/>
      <c r="R1561" s="4"/>
      <c r="S1561" s="4"/>
      <c r="T1561" s="4"/>
      <c r="U1561" s="4"/>
      <c r="V1561" s="4"/>
      <c r="W1561" s="4"/>
      <c r="X1561" s="4"/>
      <c r="Y1561" s="4"/>
      <c r="Z1561" s="4"/>
    </row>
    <row r="1562" spans="5:26" ht="15.75" customHeight="1" x14ac:dyDescent="0.15">
      <c r="E1562" s="4"/>
      <c r="F1562" s="4"/>
      <c r="G1562" s="4"/>
      <c r="H1562" s="4"/>
      <c r="I1562" s="4"/>
      <c r="J1562" s="4"/>
      <c r="K1562" s="4"/>
      <c r="L1562" s="4"/>
      <c r="M1562" s="4"/>
      <c r="N1562" s="4"/>
      <c r="O1562" s="4"/>
      <c r="P1562" s="4"/>
      <c r="Q1562" s="4"/>
      <c r="R1562" s="4"/>
      <c r="S1562" s="4"/>
      <c r="T1562" s="4"/>
      <c r="U1562" s="4"/>
      <c r="V1562" s="4"/>
      <c r="W1562" s="4"/>
      <c r="X1562" s="4"/>
      <c r="Y1562" s="4"/>
      <c r="Z1562" s="4"/>
    </row>
    <row r="1563" spans="5:26" ht="15.75" customHeight="1" x14ac:dyDescent="0.15">
      <c r="E1563" s="4"/>
      <c r="F1563" s="4"/>
      <c r="G1563" s="4"/>
      <c r="H1563" s="4"/>
      <c r="I1563" s="4"/>
      <c r="J1563" s="4"/>
      <c r="K1563" s="4"/>
      <c r="L1563" s="4"/>
      <c r="M1563" s="4"/>
      <c r="N1563" s="4"/>
      <c r="O1563" s="4"/>
      <c r="P1563" s="4"/>
      <c r="Q1563" s="4"/>
      <c r="R1563" s="4"/>
      <c r="S1563" s="4"/>
      <c r="T1563" s="4"/>
      <c r="U1563" s="4"/>
      <c r="V1563" s="4"/>
      <c r="W1563" s="4"/>
      <c r="X1563" s="4"/>
      <c r="Y1563" s="4"/>
      <c r="Z1563" s="4"/>
    </row>
    <row r="1564" spans="5:26" ht="15.75" customHeight="1" x14ac:dyDescent="0.15">
      <c r="E1564" s="4"/>
      <c r="F1564" s="4"/>
      <c r="G1564" s="4"/>
      <c r="H1564" s="4"/>
      <c r="I1564" s="4"/>
      <c r="J1564" s="4"/>
      <c r="K1564" s="4"/>
      <c r="L1564" s="4"/>
      <c r="M1564" s="4"/>
      <c r="N1564" s="4"/>
      <c r="O1564" s="4"/>
      <c r="P1564" s="4"/>
      <c r="Q1564" s="4"/>
      <c r="R1564" s="4"/>
      <c r="S1564" s="4"/>
      <c r="T1564" s="4"/>
      <c r="U1564" s="4"/>
      <c r="V1564" s="4"/>
      <c r="W1564" s="4"/>
      <c r="X1564" s="4"/>
      <c r="Y1564" s="4"/>
      <c r="Z1564" s="4"/>
    </row>
    <row r="1565" spans="5:26" ht="15.75" customHeight="1" x14ac:dyDescent="0.15">
      <c r="E1565" s="4"/>
      <c r="F1565" s="4"/>
      <c r="G1565" s="4"/>
      <c r="H1565" s="4"/>
      <c r="I1565" s="4"/>
      <c r="J1565" s="4"/>
      <c r="K1565" s="4"/>
      <c r="L1565" s="4"/>
      <c r="M1565" s="4"/>
      <c r="N1565" s="4"/>
      <c r="O1565" s="4"/>
      <c r="P1565" s="4"/>
      <c r="Q1565" s="4"/>
      <c r="R1565" s="4"/>
      <c r="S1565" s="4"/>
      <c r="T1565" s="4"/>
      <c r="U1565" s="4"/>
      <c r="V1565" s="4"/>
      <c r="W1565" s="4"/>
      <c r="X1565" s="4"/>
      <c r="Y1565" s="4"/>
      <c r="Z1565" s="4"/>
    </row>
    <row r="1566" spans="5:26" ht="15.75" customHeight="1" x14ac:dyDescent="0.15">
      <c r="E1566" s="4"/>
      <c r="F1566" s="4"/>
      <c r="G1566" s="4"/>
      <c r="H1566" s="4"/>
      <c r="I1566" s="4"/>
      <c r="J1566" s="4"/>
      <c r="K1566" s="4"/>
      <c r="L1566" s="4"/>
      <c r="M1566" s="4"/>
      <c r="N1566" s="4"/>
      <c r="O1566" s="4"/>
      <c r="P1566" s="4"/>
      <c r="Q1566" s="4"/>
      <c r="R1566" s="4"/>
      <c r="S1566" s="4"/>
      <c r="T1566" s="4"/>
      <c r="U1566" s="4"/>
      <c r="V1566" s="4"/>
      <c r="W1566" s="4"/>
      <c r="X1566" s="4"/>
      <c r="Y1566" s="4"/>
      <c r="Z1566" s="4"/>
    </row>
    <row r="1567" spans="5:26" ht="15.75" customHeight="1" x14ac:dyDescent="0.15">
      <c r="E1567" s="4"/>
      <c r="F1567" s="4"/>
      <c r="G1567" s="4"/>
      <c r="H1567" s="4"/>
      <c r="I1567" s="4"/>
      <c r="J1567" s="4"/>
      <c r="K1567" s="4"/>
      <c r="L1567" s="4"/>
      <c r="M1567" s="4"/>
      <c r="N1567" s="4"/>
      <c r="O1567" s="4"/>
      <c r="P1567" s="4"/>
      <c r="Q1567" s="4"/>
      <c r="R1567" s="4"/>
      <c r="S1567" s="4"/>
      <c r="T1567" s="4"/>
      <c r="U1567" s="4"/>
      <c r="V1567" s="4"/>
      <c r="W1567" s="4"/>
      <c r="X1567" s="4"/>
      <c r="Y1567" s="4"/>
      <c r="Z1567" s="4"/>
    </row>
    <row r="1568" spans="5:26" ht="15.75" customHeight="1" x14ac:dyDescent="0.15">
      <c r="E1568" s="4"/>
      <c r="F1568" s="4"/>
      <c r="G1568" s="4"/>
      <c r="H1568" s="4"/>
      <c r="I1568" s="4"/>
      <c r="J1568" s="4"/>
      <c r="K1568" s="4"/>
      <c r="L1568" s="4"/>
      <c r="M1568" s="4"/>
      <c r="N1568" s="4"/>
      <c r="O1568" s="4"/>
      <c r="P1568" s="4"/>
      <c r="Q1568" s="4"/>
      <c r="R1568" s="4"/>
      <c r="S1568" s="4"/>
      <c r="T1568" s="4"/>
      <c r="U1568" s="4"/>
      <c r="V1568" s="4"/>
      <c r="W1568" s="4"/>
      <c r="X1568" s="4"/>
      <c r="Y1568" s="4"/>
      <c r="Z1568" s="4"/>
    </row>
    <row r="1569" spans="5:26" ht="15.75" customHeight="1" x14ac:dyDescent="0.15">
      <c r="E1569" s="4"/>
      <c r="F1569" s="4"/>
      <c r="G1569" s="4"/>
      <c r="H1569" s="4"/>
      <c r="I1569" s="4"/>
      <c r="J1569" s="4"/>
      <c r="K1569" s="4"/>
      <c r="L1569" s="4"/>
      <c r="M1569" s="4"/>
      <c r="N1569" s="4"/>
      <c r="O1569" s="4"/>
      <c r="P1569" s="4"/>
      <c r="Q1569" s="4"/>
      <c r="R1569" s="4"/>
      <c r="S1569" s="4"/>
      <c r="T1569" s="4"/>
      <c r="U1569" s="4"/>
      <c r="V1569" s="4"/>
      <c r="W1569" s="4"/>
      <c r="X1569" s="4"/>
      <c r="Y1569" s="4"/>
      <c r="Z1569" s="4"/>
    </row>
    <row r="1570" spans="5:26" ht="15.75" customHeight="1" x14ac:dyDescent="0.15">
      <c r="E1570" s="4"/>
      <c r="F1570" s="4"/>
      <c r="G1570" s="4"/>
      <c r="H1570" s="4"/>
      <c r="I1570" s="4"/>
      <c r="J1570" s="4"/>
      <c r="K1570" s="4"/>
      <c r="L1570" s="4"/>
      <c r="M1570" s="4"/>
      <c r="N1570" s="4"/>
      <c r="O1570" s="4"/>
      <c r="P1570" s="4"/>
      <c r="Q1570" s="4"/>
      <c r="R1570" s="4"/>
      <c r="S1570" s="4"/>
      <c r="T1570" s="4"/>
      <c r="U1570" s="4"/>
      <c r="V1570" s="4"/>
      <c r="W1570" s="4"/>
      <c r="X1570" s="4"/>
      <c r="Y1570" s="4"/>
      <c r="Z1570" s="4"/>
    </row>
    <row r="1571" spans="5:26" ht="15.75" customHeight="1" x14ac:dyDescent="0.15">
      <c r="E1571" s="4"/>
      <c r="F1571" s="4"/>
      <c r="G1571" s="4"/>
      <c r="H1571" s="4"/>
      <c r="I1571" s="4"/>
      <c r="J1571" s="4"/>
      <c r="K1571" s="4"/>
      <c r="L1571" s="4"/>
      <c r="M1571" s="4"/>
      <c r="N1571" s="4"/>
      <c r="O1571" s="4"/>
      <c r="P1571" s="4"/>
      <c r="Q1571" s="4"/>
      <c r="R1571" s="4"/>
      <c r="S1571" s="4"/>
      <c r="T1571" s="4"/>
      <c r="U1571" s="4"/>
      <c r="V1571" s="4"/>
      <c r="W1571" s="4"/>
      <c r="X1571" s="4"/>
      <c r="Y1571" s="4"/>
      <c r="Z1571" s="4"/>
    </row>
    <row r="1572" spans="5:26" ht="15.75" customHeight="1" x14ac:dyDescent="0.15">
      <c r="E1572" s="4"/>
      <c r="F1572" s="4"/>
      <c r="G1572" s="4"/>
      <c r="H1572" s="4"/>
      <c r="I1572" s="4"/>
      <c r="J1572" s="4"/>
      <c r="K1572" s="4"/>
      <c r="L1572" s="4"/>
      <c r="M1572" s="4"/>
      <c r="N1572" s="4"/>
      <c r="O1572" s="4"/>
      <c r="P1572" s="4"/>
      <c r="Q1572" s="4"/>
      <c r="R1572" s="4"/>
      <c r="S1572" s="4"/>
      <c r="T1572" s="4"/>
      <c r="U1572" s="4"/>
      <c r="V1572" s="4"/>
      <c r="W1572" s="4"/>
      <c r="X1572" s="4"/>
      <c r="Y1572" s="4"/>
      <c r="Z1572" s="4"/>
    </row>
    <row r="1573" spans="5:26" ht="15.75" customHeight="1" x14ac:dyDescent="0.15">
      <c r="E1573" s="4"/>
      <c r="F1573" s="4"/>
      <c r="G1573" s="4"/>
      <c r="H1573" s="4"/>
      <c r="I1573" s="4"/>
      <c r="J1573" s="4"/>
      <c r="K1573" s="4"/>
      <c r="L1573" s="4"/>
      <c r="M1573" s="4"/>
      <c r="N1573" s="4"/>
      <c r="O1573" s="4"/>
      <c r="P1573" s="4"/>
      <c r="Q1573" s="4"/>
      <c r="R1573" s="4"/>
      <c r="S1573" s="4"/>
      <c r="T1573" s="4"/>
      <c r="U1573" s="4"/>
      <c r="V1573" s="4"/>
      <c r="W1573" s="4"/>
      <c r="X1573" s="4"/>
      <c r="Y1573" s="4"/>
      <c r="Z1573" s="4"/>
    </row>
    <row r="1574" spans="5:26" ht="15.75" customHeight="1" x14ac:dyDescent="0.15">
      <c r="E1574" s="4"/>
      <c r="F1574" s="4"/>
      <c r="G1574" s="4"/>
      <c r="H1574" s="4"/>
      <c r="I1574" s="4"/>
      <c r="J1574" s="4"/>
      <c r="K1574" s="4"/>
      <c r="L1574" s="4"/>
      <c r="M1574" s="4"/>
      <c r="N1574" s="4"/>
      <c r="O1574" s="4"/>
      <c r="P1574" s="4"/>
      <c r="Q1574" s="4"/>
      <c r="R1574" s="4"/>
      <c r="S1574" s="4"/>
      <c r="T1574" s="4"/>
      <c r="U1574" s="4"/>
      <c r="V1574" s="4"/>
      <c r="W1574" s="4"/>
      <c r="X1574" s="4"/>
      <c r="Y1574" s="4"/>
      <c r="Z1574" s="4"/>
    </row>
    <row r="1575" spans="5:26" ht="15.75" customHeight="1" x14ac:dyDescent="0.15">
      <c r="E1575" s="4"/>
      <c r="F1575" s="4"/>
      <c r="G1575" s="4"/>
      <c r="H1575" s="4"/>
      <c r="I1575" s="4"/>
      <c r="J1575" s="4"/>
      <c r="K1575" s="4"/>
      <c r="L1575" s="4"/>
      <c r="M1575" s="4"/>
      <c r="N1575" s="4"/>
      <c r="O1575" s="4"/>
      <c r="P1575" s="4"/>
      <c r="Q1575" s="4"/>
      <c r="R1575" s="4"/>
      <c r="S1575" s="4"/>
      <c r="T1575" s="4"/>
      <c r="U1575" s="4"/>
      <c r="V1575" s="4"/>
      <c r="W1575" s="4"/>
      <c r="X1575" s="4"/>
      <c r="Y1575" s="4"/>
      <c r="Z1575" s="4"/>
    </row>
    <row r="1576" spans="5:26" ht="15.75" customHeight="1" x14ac:dyDescent="0.15">
      <c r="E1576" s="4"/>
      <c r="F1576" s="4"/>
      <c r="G1576" s="4"/>
      <c r="H1576" s="4"/>
      <c r="I1576" s="4"/>
      <c r="J1576" s="4"/>
      <c r="K1576" s="4"/>
      <c r="L1576" s="4"/>
      <c r="M1576" s="4"/>
      <c r="N1576" s="4"/>
      <c r="O1576" s="4"/>
      <c r="P1576" s="4"/>
      <c r="Q1576" s="4"/>
      <c r="R1576" s="4"/>
      <c r="S1576" s="4"/>
      <c r="T1576" s="4"/>
      <c r="U1576" s="4"/>
      <c r="V1576" s="4"/>
      <c r="W1576" s="4"/>
      <c r="X1576" s="4"/>
      <c r="Y1576" s="4"/>
      <c r="Z1576" s="4"/>
    </row>
    <row r="1577" spans="5:26" ht="15.75" customHeight="1" x14ac:dyDescent="0.15">
      <c r="E1577" s="4"/>
      <c r="F1577" s="4"/>
      <c r="G1577" s="4"/>
      <c r="H1577" s="4"/>
      <c r="I1577" s="4"/>
      <c r="J1577" s="4"/>
      <c r="K1577" s="4"/>
      <c r="L1577" s="4"/>
      <c r="M1577" s="4"/>
      <c r="N1577" s="4"/>
      <c r="O1577" s="4"/>
      <c r="P1577" s="4"/>
      <c r="Q1577" s="4"/>
      <c r="R1577" s="4"/>
      <c r="S1577" s="4"/>
      <c r="T1577" s="4"/>
      <c r="U1577" s="4"/>
      <c r="V1577" s="4"/>
      <c r="W1577" s="4"/>
      <c r="X1577" s="4"/>
      <c r="Y1577" s="4"/>
      <c r="Z1577" s="4"/>
    </row>
    <row r="1578" spans="5:26" ht="15.75" customHeight="1" x14ac:dyDescent="0.15">
      <c r="E1578" s="4"/>
      <c r="F1578" s="4"/>
      <c r="G1578" s="4"/>
      <c r="H1578" s="4"/>
      <c r="I1578" s="4"/>
      <c r="J1578" s="4"/>
      <c r="K1578" s="4"/>
      <c r="L1578" s="4"/>
      <c r="M1578" s="4"/>
      <c r="N1578" s="4"/>
      <c r="O1578" s="4"/>
      <c r="P1578" s="4"/>
      <c r="Q1578" s="4"/>
      <c r="R1578" s="4"/>
      <c r="S1578" s="4"/>
      <c r="T1578" s="4"/>
      <c r="U1578" s="4"/>
      <c r="V1578" s="4"/>
      <c r="W1578" s="4"/>
      <c r="X1578" s="4"/>
      <c r="Y1578" s="4"/>
      <c r="Z1578" s="4"/>
    </row>
    <row r="1579" spans="5:26" ht="15.75" customHeight="1" x14ac:dyDescent="0.15">
      <c r="E1579" s="4"/>
      <c r="F1579" s="4"/>
      <c r="G1579" s="4"/>
      <c r="H1579" s="4"/>
      <c r="I1579" s="4"/>
      <c r="J1579" s="4"/>
      <c r="K1579" s="4"/>
      <c r="L1579" s="4"/>
      <c r="M1579" s="4"/>
      <c r="N1579" s="4"/>
      <c r="O1579" s="4"/>
      <c r="P1579" s="4"/>
      <c r="Q1579" s="4"/>
      <c r="R1579" s="4"/>
      <c r="S1579" s="4"/>
      <c r="T1579" s="4"/>
      <c r="U1579" s="4"/>
      <c r="V1579" s="4"/>
      <c r="W1579" s="4"/>
      <c r="X1579" s="4"/>
      <c r="Y1579" s="4"/>
      <c r="Z1579" s="4"/>
    </row>
    <row r="1580" spans="5:26" ht="15.75" customHeight="1" x14ac:dyDescent="0.15">
      <c r="E1580" s="4"/>
      <c r="F1580" s="4"/>
      <c r="G1580" s="4"/>
      <c r="H1580" s="4"/>
      <c r="I1580" s="4"/>
      <c r="J1580" s="4"/>
      <c r="K1580" s="4"/>
      <c r="L1580" s="4"/>
      <c r="M1580" s="4"/>
      <c r="N1580" s="4"/>
      <c r="O1580" s="4"/>
      <c r="P1580" s="4"/>
      <c r="Q1580" s="4"/>
      <c r="R1580" s="4"/>
      <c r="S1580" s="4"/>
      <c r="T1580" s="4"/>
      <c r="U1580" s="4"/>
      <c r="V1580" s="4"/>
      <c r="W1580" s="4"/>
      <c r="X1580" s="4"/>
      <c r="Y1580" s="4"/>
      <c r="Z1580" s="4"/>
    </row>
    <row r="1581" spans="5:26" ht="15.75" customHeight="1" x14ac:dyDescent="0.15">
      <c r="E1581" s="4"/>
      <c r="F1581" s="4"/>
      <c r="G1581" s="4"/>
      <c r="H1581" s="4"/>
      <c r="I1581" s="4"/>
      <c r="J1581" s="4"/>
      <c r="K1581" s="4"/>
      <c r="L1581" s="4"/>
      <c r="M1581" s="4"/>
      <c r="N1581" s="4"/>
      <c r="O1581" s="4"/>
      <c r="P1581" s="4"/>
      <c r="Q1581" s="4"/>
      <c r="R1581" s="4"/>
      <c r="S1581" s="4"/>
      <c r="T1581" s="4"/>
      <c r="U1581" s="4"/>
      <c r="V1581" s="4"/>
      <c r="W1581" s="4"/>
      <c r="X1581" s="4"/>
      <c r="Y1581" s="4"/>
      <c r="Z1581" s="4"/>
    </row>
    <row r="1582" spans="5:26" ht="15.75" customHeight="1" x14ac:dyDescent="0.15">
      <c r="E1582" s="4"/>
      <c r="F1582" s="4"/>
      <c r="G1582" s="4"/>
      <c r="H1582" s="4"/>
      <c r="I1582" s="4"/>
      <c r="J1582" s="4"/>
      <c r="K1582" s="4"/>
      <c r="L1582" s="4"/>
      <c r="M1582" s="4"/>
      <c r="N1582" s="4"/>
      <c r="O1582" s="4"/>
      <c r="P1582" s="4"/>
      <c r="Q1582" s="4"/>
      <c r="R1582" s="4"/>
      <c r="S1582" s="4"/>
      <c r="T1582" s="4"/>
      <c r="U1582" s="4"/>
      <c r="V1582" s="4"/>
      <c r="W1582" s="4"/>
      <c r="X1582" s="4"/>
      <c r="Y1582" s="4"/>
      <c r="Z1582" s="4"/>
    </row>
    <row r="1583" spans="5:26" ht="15.75" customHeight="1" x14ac:dyDescent="0.15">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5:26" ht="15.75" customHeight="1" x14ac:dyDescent="0.15">
      <c r="E1584" s="4"/>
      <c r="F1584" s="4"/>
      <c r="G1584" s="4"/>
      <c r="H1584" s="4"/>
      <c r="I1584" s="4"/>
      <c r="J1584" s="4"/>
      <c r="K1584" s="4"/>
      <c r="L1584" s="4"/>
      <c r="M1584" s="4"/>
      <c r="N1584" s="4"/>
      <c r="O1584" s="4"/>
      <c r="P1584" s="4"/>
      <c r="Q1584" s="4"/>
      <c r="R1584" s="4"/>
      <c r="S1584" s="4"/>
      <c r="T1584" s="4"/>
      <c r="U1584" s="4"/>
      <c r="V1584" s="4"/>
      <c r="W1584" s="4"/>
      <c r="X1584" s="4"/>
      <c r="Y1584" s="4"/>
      <c r="Z1584" s="4"/>
    </row>
    <row r="1585" spans="5:26" ht="15.75" customHeight="1" x14ac:dyDescent="0.15">
      <c r="E1585" s="4"/>
      <c r="F1585" s="4"/>
      <c r="G1585" s="4"/>
      <c r="H1585" s="4"/>
      <c r="I1585" s="4"/>
      <c r="J1585" s="4"/>
      <c r="K1585" s="4"/>
      <c r="L1585" s="4"/>
      <c r="M1585" s="4"/>
      <c r="N1585" s="4"/>
      <c r="O1585" s="4"/>
      <c r="P1585" s="4"/>
      <c r="Q1585" s="4"/>
      <c r="R1585" s="4"/>
      <c r="S1585" s="4"/>
      <c r="T1585" s="4"/>
      <c r="U1585" s="4"/>
      <c r="V1585" s="4"/>
      <c r="W1585" s="4"/>
      <c r="X1585" s="4"/>
      <c r="Y1585" s="4"/>
      <c r="Z1585" s="4"/>
    </row>
    <row r="1586" spans="5:26" ht="15.75" customHeight="1" x14ac:dyDescent="0.15">
      <c r="E1586" s="4"/>
      <c r="F1586" s="4"/>
      <c r="G1586" s="4"/>
      <c r="H1586" s="4"/>
      <c r="I1586" s="4"/>
      <c r="J1586" s="4"/>
      <c r="K1586" s="4"/>
      <c r="L1586" s="4"/>
      <c r="M1586" s="4"/>
      <c r="N1586" s="4"/>
      <c r="O1586" s="4"/>
      <c r="P1586" s="4"/>
      <c r="Q1586" s="4"/>
      <c r="R1586" s="4"/>
      <c r="S1586" s="4"/>
      <c r="T1586" s="4"/>
      <c r="U1586" s="4"/>
      <c r="V1586" s="4"/>
      <c r="W1586" s="4"/>
      <c r="X1586" s="4"/>
      <c r="Y1586" s="4"/>
      <c r="Z1586" s="4"/>
    </row>
    <row r="1587" spans="5:26" ht="15.75" customHeight="1" x14ac:dyDescent="0.15">
      <c r="E1587" s="4"/>
      <c r="F1587" s="4"/>
      <c r="G1587" s="4"/>
      <c r="H1587" s="4"/>
      <c r="I1587" s="4"/>
      <c r="J1587" s="4"/>
      <c r="K1587" s="4"/>
      <c r="L1587" s="4"/>
      <c r="M1587" s="4"/>
      <c r="N1587" s="4"/>
      <c r="O1587" s="4"/>
      <c r="P1587" s="4"/>
      <c r="Q1587" s="4"/>
      <c r="R1587" s="4"/>
      <c r="S1587" s="4"/>
      <c r="T1587" s="4"/>
      <c r="U1587" s="4"/>
      <c r="V1587" s="4"/>
      <c r="W1587" s="4"/>
      <c r="X1587" s="4"/>
      <c r="Y1587" s="4"/>
      <c r="Z1587" s="4"/>
    </row>
    <row r="1588" spans="5:26" ht="15.75" customHeight="1" x14ac:dyDescent="0.15">
      <c r="E1588" s="4"/>
      <c r="F1588" s="4"/>
      <c r="G1588" s="4"/>
      <c r="H1588" s="4"/>
      <c r="I1588" s="4"/>
      <c r="J1588" s="4"/>
      <c r="K1588" s="4"/>
      <c r="L1588" s="4"/>
      <c r="M1588" s="4"/>
      <c r="N1588" s="4"/>
      <c r="O1588" s="4"/>
      <c r="P1588" s="4"/>
      <c r="Q1588" s="4"/>
      <c r="R1588" s="4"/>
      <c r="S1588" s="4"/>
      <c r="T1588" s="4"/>
      <c r="U1588" s="4"/>
      <c r="V1588" s="4"/>
      <c r="W1588" s="4"/>
      <c r="X1588" s="4"/>
      <c r="Y1588" s="4"/>
      <c r="Z1588" s="4"/>
    </row>
    <row r="1589" spans="5:26" ht="15.75" customHeight="1" x14ac:dyDescent="0.15">
      <c r="E1589" s="4"/>
      <c r="F1589" s="4"/>
      <c r="G1589" s="4"/>
      <c r="H1589" s="4"/>
      <c r="I1589" s="4"/>
      <c r="J1589" s="4"/>
      <c r="K1589" s="4"/>
      <c r="L1589" s="4"/>
      <c r="M1589" s="4"/>
      <c r="N1589" s="4"/>
      <c r="O1589" s="4"/>
      <c r="P1589" s="4"/>
      <c r="Q1589" s="4"/>
      <c r="R1589" s="4"/>
      <c r="S1589" s="4"/>
      <c r="T1589" s="4"/>
      <c r="U1589" s="4"/>
      <c r="V1589" s="4"/>
      <c r="W1589" s="4"/>
      <c r="X1589" s="4"/>
      <c r="Y1589" s="4"/>
      <c r="Z1589" s="4"/>
    </row>
    <row r="1590" spans="5:26" ht="15.75" customHeight="1" x14ac:dyDescent="0.15">
      <c r="E1590" s="4"/>
      <c r="F1590" s="4"/>
      <c r="G1590" s="4"/>
      <c r="H1590" s="4"/>
      <c r="I1590" s="4"/>
      <c r="J1590" s="4"/>
      <c r="K1590" s="4"/>
      <c r="L1590" s="4"/>
      <c r="M1590" s="4"/>
      <c r="N1590" s="4"/>
      <c r="O1590" s="4"/>
      <c r="P1590" s="4"/>
      <c r="Q1590" s="4"/>
      <c r="R1590" s="4"/>
      <c r="S1590" s="4"/>
      <c r="T1590" s="4"/>
      <c r="U1590" s="4"/>
      <c r="V1590" s="4"/>
      <c r="W1590" s="4"/>
      <c r="X1590" s="4"/>
      <c r="Y1590" s="4"/>
      <c r="Z1590" s="4"/>
    </row>
    <row r="1591" spans="5:26" ht="15.75" customHeight="1" x14ac:dyDescent="0.15">
      <c r="E1591" s="4"/>
      <c r="F1591" s="4"/>
      <c r="G1591" s="4"/>
      <c r="H1591" s="4"/>
      <c r="I1591" s="4"/>
      <c r="J1591" s="4"/>
      <c r="K1591" s="4"/>
      <c r="L1591" s="4"/>
      <c r="M1591" s="4"/>
      <c r="N1591" s="4"/>
      <c r="O1591" s="4"/>
      <c r="P1591" s="4"/>
      <c r="Q1591" s="4"/>
      <c r="R1591" s="4"/>
      <c r="S1591" s="4"/>
      <c r="T1591" s="4"/>
      <c r="U1591" s="4"/>
      <c r="V1591" s="4"/>
      <c r="W1591" s="4"/>
      <c r="X1591" s="4"/>
      <c r="Y1591" s="4"/>
      <c r="Z1591" s="4"/>
    </row>
    <row r="1592" spans="5:26" ht="15.75" customHeight="1" x14ac:dyDescent="0.15">
      <c r="E1592" s="4"/>
      <c r="F1592" s="4"/>
      <c r="G1592" s="4"/>
      <c r="H1592" s="4"/>
      <c r="I1592" s="4"/>
      <c r="J1592" s="4"/>
      <c r="K1592" s="4"/>
      <c r="L1592" s="4"/>
      <c r="M1592" s="4"/>
      <c r="N1592" s="4"/>
      <c r="O1592" s="4"/>
      <c r="P1592" s="4"/>
      <c r="Q1592" s="4"/>
      <c r="R1592" s="4"/>
      <c r="S1592" s="4"/>
      <c r="T1592" s="4"/>
      <c r="U1592" s="4"/>
      <c r="V1592" s="4"/>
      <c r="W1592" s="4"/>
      <c r="X1592" s="4"/>
      <c r="Y1592" s="4"/>
      <c r="Z1592" s="4"/>
    </row>
    <row r="1593" spans="5:26" ht="15.75" customHeight="1" x14ac:dyDescent="0.15">
      <c r="E1593" s="4"/>
      <c r="F1593" s="4"/>
      <c r="G1593" s="4"/>
      <c r="H1593" s="4"/>
      <c r="I1593" s="4"/>
      <c r="J1593" s="4"/>
      <c r="K1593" s="4"/>
      <c r="L1593" s="4"/>
      <c r="M1593" s="4"/>
      <c r="N1593" s="4"/>
      <c r="O1593" s="4"/>
      <c r="P1593" s="4"/>
      <c r="Q1593" s="4"/>
      <c r="R1593" s="4"/>
      <c r="S1593" s="4"/>
      <c r="T1593" s="4"/>
      <c r="U1593" s="4"/>
      <c r="V1593" s="4"/>
      <c r="W1593" s="4"/>
      <c r="X1593" s="4"/>
      <c r="Y1593" s="4"/>
      <c r="Z1593" s="4"/>
    </row>
    <row r="1594" spans="5:26" ht="15.75" customHeight="1" x14ac:dyDescent="0.15">
      <c r="E1594" s="4"/>
      <c r="F1594" s="4"/>
      <c r="G1594" s="4"/>
      <c r="H1594" s="4"/>
      <c r="I1594" s="4"/>
      <c r="J1594" s="4"/>
      <c r="K1594" s="4"/>
      <c r="L1594" s="4"/>
      <c r="M1594" s="4"/>
      <c r="N1594" s="4"/>
      <c r="O1594" s="4"/>
      <c r="P1594" s="4"/>
      <c r="Q1594" s="4"/>
      <c r="R1594" s="4"/>
      <c r="S1594" s="4"/>
      <c r="T1594" s="4"/>
      <c r="U1594" s="4"/>
      <c r="V1594" s="4"/>
      <c r="W1594" s="4"/>
      <c r="X1594" s="4"/>
      <c r="Y1594" s="4"/>
      <c r="Z1594" s="4"/>
    </row>
    <row r="1595" spans="5:26" ht="15.75" customHeight="1" x14ac:dyDescent="0.15">
      <c r="E1595" s="4"/>
      <c r="F1595" s="4"/>
      <c r="G1595" s="4"/>
      <c r="H1595" s="4"/>
      <c r="I1595" s="4"/>
      <c r="J1595" s="4"/>
      <c r="K1595" s="4"/>
      <c r="L1595" s="4"/>
      <c r="M1595" s="4"/>
      <c r="N1595" s="4"/>
      <c r="O1595" s="4"/>
      <c r="P1595" s="4"/>
      <c r="Q1595" s="4"/>
      <c r="R1595" s="4"/>
      <c r="S1595" s="4"/>
      <c r="T1595" s="4"/>
      <c r="U1595" s="4"/>
      <c r="V1595" s="4"/>
      <c r="W1595" s="4"/>
      <c r="X1595" s="4"/>
      <c r="Y1595" s="4"/>
      <c r="Z1595" s="4"/>
    </row>
    <row r="1596" spans="5:26" ht="15.75" customHeight="1" x14ac:dyDescent="0.15">
      <c r="E1596" s="4"/>
      <c r="F1596" s="4"/>
      <c r="G1596" s="4"/>
      <c r="H1596" s="4"/>
      <c r="I1596" s="4"/>
      <c r="J1596" s="4"/>
      <c r="K1596" s="4"/>
      <c r="L1596" s="4"/>
      <c r="M1596" s="4"/>
      <c r="N1596" s="4"/>
      <c r="O1596" s="4"/>
      <c r="P1596" s="4"/>
      <c r="Q1596" s="4"/>
      <c r="R1596" s="4"/>
      <c r="S1596" s="4"/>
      <c r="T1596" s="4"/>
      <c r="U1596" s="4"/>
      <c r="V1596" s="4"/>
      <c r="W1596" s="4"/>
      <c r="X1596" s="4"/>
      <c r="Y1596" s="4"/>
      <c r="Z1596" s="4"/>
    </row>
    <row r="1597" spans="5:26" ht="15.75" customHeight="1" x14ac:dyDescent="0.15">
      <c r="E1597" s="4"/>
      <c r="F1597" s="4"/>
      <c r="G1597" s="4"/>
      <c r="H1597" s="4"/>
      <c r="I1597" s="4"/>
      <c r="J1597" s="4"/>
      <c r="K1597" s="4"/>
      <c r="L1597" s="4"/>
      <c r="M1597" s="4"/>
      <c r="N1597" s="4"/>
      <c r="O1597" s="4"/>
      <c r="P1597" s="4"/>
      <c r="Q1597" s="4"/>
      <c r="R1597" s="4"/>
      <c r="S1597" s="4"/>
      <c r="T1597" s="4"/>
      <c r="U1597" s="4"/>
      <c r="V1597" s="4"/>
      <c r="W1597" s="4"/>
      <c r="X1597" s="4"/>
      <c r="Y1597" s="4"/>
      <c r="Z1597" s="4"/>
    </row>
    <row r="1598" spans="5:26" ht="15.75" customHeight="1" x14ac:dyDescent="0.15">
      <c r="E1598" s="4"/>
      <c r="F1598" s="4"/>
      <c r="G1598" s="4"/>
      <c r="H1598" s="4"/>
      <c r="I1598" s="4"/>
      <c r="J1598" s="4"/>
      <c r="K1598" s="4"/>
      <c r="L1598" s="4"/>
      <c r="M1598" s="4"/>
      <c r="N1598" s="4"/>
      <c r="O1598" s="4"/>
      <c r="P1598" s="4"/>
      <c r="Q1598" s="4"/>
      <c r="R1598" s="4"/>
      <c r="S1598" s="4"/>
      <c r="T1598" s="4"/>
      <c r="U1598" s="4"/>
      <c r="V1598" s="4"/>
      <c r="W1598" s="4"/>
      <c r="X1598" s="4"/>
      <c r="Y1598" s="4"/>
      <c r="Z1598" s="4"/>
    </row>
    <row r="1599" spans="5:26" ht="15.75" customHeight="1" x14ac:dyDescent="0.15">
      <c r="E1599" s="4"/>
      <c r="F1599" s="4"/>
      <c r="G1599" s="4"/>
      <c r="H1599" s="4"/>
      <c r="I1599" s="4"/>
      <c r="J1599" s="4"/>
      <c r="K1599" s="4"/>
      <c r="L1599" s="4"/>
      <c r="M1599" s="4"/>
      <c r="N1599" s="4"/>
      <c r="O1599" s="4"/>
      <c r="P1599" s="4"/>
      <c r="Q1599" s="4"/>
      <c r="R1599" s="4"/>
      <c r="S1599" s="4"/>
      <c r="T1599" s="4"/>
      <c r="U1599" s="4"/>
      <c r="V1599" s="4"/>
      <c r="W1599" s="4"/>
      <c r="X1599" s="4"/>
      <c r="Y1599" s="4"/>
      <c r="Z1599" s="4"/>
    </row>
    <row r="1600" spans="5:26" ht="15.75" customHeight="1" x14ac:dyDescent="0.15">
      <c r="E1600" s="4"/>
      <c r="F1600" s="4"/>
      <c r="G1600" s="4"/>
      <c r="H1600" s="4"/>
      <c r="I1600" s="4"/>
      <c r="J1600" s="4"/>
      <c r="K1600" s="4"/>
      <c r="L1600" s="4"/>
      <c r="M1600" s="4"/>
      <c r="N1600" s="4"/>
      <c r="O1600" s="4"/>
      <c r="P1600" s="4"/>
      <c r="Q1600" s="4"/>
      <c r="R1600" s="4"/>
      <c r="S1600" s="4"/>
      <c r="T1600" s="4"/>
      <c r="U1600" s="4"/>
      <c r="V1600" s="4"/>
      <c r="W1600" s="4"/>
      <c r="X1600" s="4"/>
      <c r="Y1600" s="4"/>
      <c r="Z1600" s="4"/>
    </row>
    <row r="1601" spans="5:26" ht="15.75" customHeight="1" x14ac:dyDescent="0.15">
      <c r="E1601" s="4"/>
      <c r="F1601" s="4"/>
      <c r="G1601" s="4"/>
      <c r="H1601" s="4"/>
      <c r="I1601" s="4"/>
      <c r="J1601" s="4"/>
      <c r="K1601" s="4"/>
      <c r="L1601" s="4"/>
      <c r="M1601" s="4"/>
      <c r="N1601" s="4"/>
      <c r="O1601" s="4"/>
      <c r="P1601" s="4"/>
      <c r="Q1601" s="4"/>
      <c r="R1601" s="4"/>
      <c r="S1601" s="4"/>
      <c r="T1601" s="4"/>
      <c r="U1601" s="4"/>
      <c r="V1601" s="4"/>
      <c r="W1601" s="4"/>
      <c r="X1601" s="4"/>
      <c r="Y1601" s="4"/>
      <c r="Z1601" s="4"/>
    </row>
    <row r="1602" spans="5:26" ht="15.75" customHeight="1" x14ac:dyDescent="0.15">
      <c r="E1602" s="4"/>
      <c r="F1602" s="4"/>
      <c r="G1602" s="4"/>
      <c r="H1602" s="4"/>
      <c r="I1602" s="4"/>
      <c r="J1602" s="4"/>
      <c r="K1602" s="4"/>
      <c r="L1602" s="4"/>
      <c r="M1602" s="4"/>
      <c r="N1602" s="4"/>
      <c r="O1602" s="4"/>
      <c r="P1602" s="4"/>
      <c r="Q1602" s="4"/>
      <c r="R1602" s="4"/>
      <c r="S1602" s="4"/>
      <c r="T1602" s="4"/>
      <c r="U1602" s="4"/>
      <c r="V1602" s="4"/>
      <c r="W1602" s="4"/>
      <c r="X1602" s="4"/>
      <c r="Y1602" s="4"/>
      <c r="Z1602" s="4"/>
    </row>
    <row r="1603" spans="5:26" ht="15.75" customHeight="1" x14ac:dyDescent="0.15">
      <c r="E1603" s="4"/>
      <c r="F1603" s="4"/>
      <c r="G1603" s="4"/>
      <c r="H1603" s="4"/>
      <c r="I1603" s="4"/>
      <c r="J1603" s="4"/>
      <c r="K1603" s="4"/>
      <c r="L1603" s="4"/>
      <c r="M1603" s="4"/>
      <c r="N1603" s="4"/>
      <c r="O1603" s="4"/>
      <c r="P1603" s="4"/>
      <c r="Q1603" s="4"/>
      <c r="R1603" s="4"/>
      <c r="S1603" s="4"/>
      <c r="T1603" s="4"/>
      <c r="U1603" s="4"/>
      <c r="V1603" s="4"/>
      <c r="W1603" s="4"/>
      <c r="X1603" s="4"/>
      <c r="Y1603" s="4"/>
      <c r="Z1603" s="4"/>
    </row>
    <row r="1604" spans="5:26" ht="15.75" customHeight="1" x14ac:dyDescent="0.15">
      <c r="E1604" s="4"/>
      <c r="F1604" s="4"/>
      <c r="G1604" s="4"/>
      <c r="H1604" s="4"/>
      <c r="I1604" s="4"/>
      <c r="J1604" s="4"/>
      <c r="K1604" s="4"/>
      <c r="L1604" s="4"/>
      <c r="M1604" s="4"/>
      <c r="N1604" s="4"/>
      <c r="O1604" s="4"/>
      <c r="P1604" s="4"/>
      <c r="Q1604" s="4"/>
      <c r="R1604" s="4"/>
      <c r="S1604" s="4"/>
      <c r="T1604" s="4"/>
      <c r="U1604" s="4"/>
      <c r="V1604" s="4"/>
      <c r="W1604" s="4"/>
      <c r="X1604" s="4"/>
      <c r="Y1604" s="4"/>
      <c r="Z1604" s="4"/>
    </row>
    <row r="1605" spans="5:26" ht="15.75" customHeight="1" x14ac:dyDescent="0.15">
      <c r="E1605" s="4"/>
      <c r="F1605" s="4"/>
      <c r="G1605" s="4"/>
      <c r="H1605" s="4"/>
      <c r="I1605" s="4"/>
      <c r="J1605" s="4"/>
      <c r="K1605" s="4"/>
      <c r="L1605" s="4"/>
      <c r="M1605" s="4"/>
      <c r="N1605" s="4"/>
      <c r="O1605" s="4"/>
      <c r="P1605" s="4"/>
      <c r="Q1605" s="4"/>
      <c r="R1605" s="4"/>
      <c r="S1605" s="4"/>
      <c r="T1605" s="4"/>
      <c r="U1605" s="4"/>
      <c r="V1605" s="4"/>
      <c r="W1605" s="4"/>
      <c r="X1605" s="4"/>
      <c r="Y1605" s="4"/>
      <c r="Z1605" s="4"/>
    </row>
    <row r="1606" spans="5:26" ht="15.75" customHeight="1" x14ac:dyDescent="0.15">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5:26" ht="15.75" customHeight="1" x14ac:dyDescent="0.15">
      <c r="E1607" s="4"/>
      <c r="F1607" s="4"/>
      <c r="G1607" s="4"/>
      <c r="H1607" s="4"/>
      <c r="I1607" s="4"/>
      <c r="J1607" s="4"/>
      <c r="K1607" s="4"/>
      <c r="L1607" s="4"/>
      <c r="M1607" s="4"/>
      <c r="N1607" s="4"/>
      <c r="O1607" s="4"/>
      <c r="P1607" s="4"/>
      <c r="Q1607" s="4"/>
      <c r="R1607" s="4"/>
      <c r="S1607" s="4"/>
      <c r="T1607" s="4"/>
      <c r="U1607" s="4"/>
      <c r="V1607" s="4"/>
      <c r="W1607" s="4"/>
      <c r="X1607" s="4"/>
      <c r="Y1607" s="4"/>
      <c r="Z1607" s="4"/>
    </row>
    <row r="1608" spans="5:26" ht="15.75" customHeight="1" x14ac:dyDescent="0.15">
      <c r="E1608" s="4"/>
      <c r="F1608" s="4"/>
      <c r="G1608" s="4"/>
      <c r="H1608" s="4"/>
      <c r="I1608" s="4"/>
      <c r="J1608" s="4"/>
      <c r="K1608" s="4"/>
      <c r="L1608" s="4"/>
      <c r="M1608" s="4"/>
      <c r="N1608" s="4"/>
      <c r="O1608" s="4"/>
      <c r="P1608" s="4"/>
      <c r="Q1608" s="4"/>
      <c r="R1608" s="4"/>
      <c r="S1608" s="4"/>
      <c r="T1608" s="4"/>
      <c r="U1608" s="4"/>
      <c r="V1608" s="4"/>
      <c r="W1608" s="4"/>
      <c r="X1608" s="4"/>
      <c r="Y1608" s="4"/>
      <c r="Z1608" s="4"/>
    </row>
    <row r="1609" spans="5:26" ht="15.75" customHeight="1" x14ac:dyDescent="0.15">
      <c r="E1609" s="4"/>
      <c r="F1609" s="4"/>
      <c r="G1609" s="4"/>
      <c r="H1609" s="4"/>
      <c r="I1609" s="4"/>
      <c r="J1609" s="4"/>
      <c r="K1609" s="4"/>
      <c r="L1609" s="4"/>
      <c r="M1609" s="4"/>
      <c r="N1609" s="4"/>
      <c r="O1609" s="4"/>
      <c r="P1609" s="4"/>
      <c r="Q1609" s="4"/>
      <c r="R1609" s="4"/>
      <c r="S1609" s="4"/>
      <c r="T1609" s="4"/>
      <c r="U1609" s="4"/>
      <c r="V1609" s="4"/>
      <c r="W1609" s="4"/>
      <c r="X1609" s="4"/>
      <c r="Y1609" s="4"/>
      <c r="Z1609" s="4"/>
    </row>
    <row r="1610" spans="5:26" ht="15.75" customHeight="1" x14ac:dyDescent="0.15">
      <c r="E1610" s="4"/>
      <c r="F1610" s="4"/>
      <c r="G1610" s="4"/>
      <c r="H1610" s="4"/>
      <c r="I1610" s="4"/>
      <c r="J1610" s="4"/>
      <c r="K1610" s="4"/>
      <c r="L1610" s="4"/>
      <c r="M1610" s="4"/>
      <c r="N1610" s="4"/>
      <c r="O1610" s="4"/>
      <c r="P1610" s="4"/>
      <c r="Q1610" s="4"/>
      <c r="R1610" s="4"/>
      <c r="S1610" s="4"/>
      <c r="T1610" s="4"/>
      <c r="U1610" s="4"/>
      <c r="V1610" s="4"/>
      <c r="W1610" s="4"/>
      <c r="X1610" s="4"/>
      <c r="Y1610" s="4"/>
      <c r="Z1610" s="4"/>
    </row>
    <row r="1611" spans="5:26" ht="15.75" customHeight="1" x14ac:dyDescent="0.15">
      <c r="E1611" s="4"/>
      <c r="F1611" s="4"/>
      <c r="G1611" s="4"/>
      <c r="H1611" s="4"/>
      <c r="I1611" s="4"/>
      <c r="J1611" s="4"/>
      <c r="K1611" s="4"/>
      <c r="L1611" s="4"/>
      <c r="M1611" s="4"/>
      <c r="N1611" s="4"/>
      <c r="O1611" s="4"/>
      <c r="P1611" s="4"/>
      <c r="Q1611" s="4"/>
      <c r="R1611" s="4"/>
      <c r="S1611" s="4"/>
      <c r="T1611" s="4"/>
      <c r="U1611" s="4"/>
      <c r="V1611" s="4"/>
      <c r="W1611" s="4"/>
      <c r="X1611" s="4"/>
      <c r="Y1611" s="4"/>
      <c r="Z1611" s="4"/>
    </row>
    <row r="1612" spans="5:26" ht="15.75" customHeight="1" x14ac:dyDescent="0.15">
      <c r="E1612" s="4"/>
      <c r="F1612" s="4"/>
      <c r="G1612" s="4"/>
      <c r="H1612" s="4"/>
      <c r="I1612" s="4"/>
      <c r="J1612" s="4"/>
      <c r="K1612" s="4"/>
      <c r="L1612" s="4"/>
      <c r="M1612" s="4"/>
      <c r="N1612" s="4"/>
      <c r="O1612" s="4"/>
      <c r="P1612" s="4"/>
      <c r="Q1612" s="4"/>
      <c r="R1612" s="4"/>
      <c r="S1612" s="4"/>
      <c r="T1612" s="4"/>
      <c r="U1612" s="4"/>
      <c r="V1612" s="4"/>
      <c r="W1612" s="4"/>
      <c r="X1612" s="4"/>
      <c r="Y1612" s="4"/>
      <c r="Z1612" s="4"/>
    </row>
    <row r="1613" spans="5:26" ht="15.75" customHeight="1" x14ac:dyDescent="0.15">
      <c r="E1613" s="4"/>
      <c r="F1613" s="4"/>
      <c r="G1613" s="4"/>
      <c r="H1613" s="4"/>
      <c r="I1613" s="4"/>
      <c r="J1613" s="4"/>
      <c r="K1613" s="4"/>
      <c r="L1613" s="4"/>
      <c r="M1613" s="4"/>
      <c r="N1613" s="4"/>
      <c r="O1613" s="4"/>
      <c r="P1613" s="4"/>
      <c r="Q1613" s="4"/>
      <c r="R1613" s="4"/>
      <c r="S1613" s="4"/>
      <c r="T1613" s="4"/>
      <c r="U1613" s="4"/>
      <c r="V1613" s="4"/>
      <c r="W1613" s="4"/>
      <c r="X1613" s="4"/>
      <c r="Y1613" s="4"/>
      <c r="Z1613" s="4"/>
    </row>
    <row r="1614" spans="5:26" ht="15.75" customHeight="1" x14ac:dyDescent="0.15">
      <c r="E1614" s="4"/>
      <c r="F1614" s="4"/>
      <c r="G1614" s="4"/>
      <c r="H1614" s="4"/>
      <c r="I1614" s="4"/>
      <c r="J1614" s="4"/>
      <c r="K1614" s="4"/>
      <c r="L1614" s="4"/>
      <c r="M1614" s="4"/>
      <c r="N1614" s="4"/>
      <c r="O1614" s="4"/>
      <c r="P1614" s="4"/>
      <c r="Q1614" s="4"/>
      <c r="R1614" s="4"/>
      <c r="S1614" s="4"/>
      <c r="T1614" s="4"/>
      <c r="U1614" s="4"/>
      <c r="V1614" s="4"/>
      <c r="W1614" s="4"/>
      <c r="X1614" s="4"/>
      <c r="Y1614" s="4"/>
      <c r="Z1614" s="4"/>
    </row>
    <row r="1615" spans="5:26" ht="15.75" customHeight="1" x14ac:dyDescent="0.15">
      <c r="E1615" s="4"/>
      <c r="F1615" s="4"/>
      <c r="G1615" s="4"/>
      <c r="H1615" s="4"/>
      <c r="I1615" s="4"/>
      <c r="J1615" s="4"/>
      <c r="K1615" s="4"/>
      <c r="L1615" s="4"/>
      <c r="M1615" s="4"/>
      <c r="N1615" s="4"/>
      <c r="O1615" s="4"/>
      <c r="P1615" s="4"/>
      <c r="Q1615" s="4"/>
      <c r="R1615" s="4"/>
      <c r="S1615" s="4"/>
      <c r="T1615" s="4"/>
      <c r="U1615" s="4"/>
      <c r="V1615" s="4"/>
      <c r="W1615" s="4"/>
      <c r="X1615" s="4"/>
      <c r="Y1615" s="4"/>
      <c r="Z1615" s="4"/>
    </row>
    <row r="1616" spans="5:26" ht="15.75" customHeight="1" x14ac:dyDescent="0.15">
      <c r="E1616" s="4"/>
      <c r="F1616" s="4"/>
      <c r="G1616" s="4"/>
      <c r="H1616" s="4"/>
      <c r="I1616" s="4"/>
      <c r="J1616" s="4"/>
      <c r="K1616" s="4"/>
      <c r="L1616" s="4"/>
      <c r="M1616" s="4"/>
      <c r="N1616" s="4"/>
      <c r="O1616" s="4"/>
      <c r="P1616" s="4"/>
      <c r="Q1616" s="4"/>
      <c r="R1616" s="4"/>
      <c r="S1616" s="4"/>
      <c r="T1616" s="4"/>
      <c r="U1616" s="4"/>
      <c r="V1616" s="4"/>
      <c r="W1616" s="4"/>
      <c r="X1616" s="4"/>
      <c r="Y1616" s="4"/>
      <c r="Z1616" s="4"/>
    </row>
    <row r="1617" spans="5:26" ht="15.75" customHeight="1" x14ac:dyDescent="0.15">
      <c r="E1617" s="4"/>
      <c r="F1617" s="4"/>
      <c r="G1617" s="4"/>
      <c r="H1617" s="4"/>
      <c r="I1617" s="4"/>
      <c r="J1617" s="4"/>
      <c r="K1617" s="4"/>
      <c r="L1617" s="4"/>
      <c r="M1617" s="4"/>
      <c r="N1617" s="4"/>
      <c r="O1617" s="4"/>
      <c r="P1617" s="4"/>
      <c r="Q1617" s="4"/>
      <c r="R1617" s="4"/>
      <c r="S1617" s="4"/>
      <c r="T1617" s="4"/>
      <c r="U1617" s="4"/>
      <c r="V1617" s="4"/>
      <c r="W1617" s="4"/>
      <c r="X1617" s="4"/>
      <c r="Y1617" s="4"/>
      <c r="Z1617" s="4"/>
    </row>
    <row r="1618" spans="5:26" ht="15.75" customHeight="1" x14ac:dyDescent="0.15">
      <c r="E1618" s="4"/>
      <c r="F1618" s="4"/>
      <c r="G1618" s="4"/>
      <c r="H1618" s="4"/>
      <c r="I1618" s="4"/>
      <c r="J1618" s="4"/>
      <c r="K1618" s="4"/>
      <c r="L1618" s="4"/>
      <c r="M1618" s="4"/>
      <c r="N1618" s="4"/>
      <c r="O1618" s="4"/>
      <c r="P1618" s="4"/>
      <c r="Q1618" s="4"/>
      <c r="R1618" s="4"/>
      <c r="S1618" s="4"/>
      <c r="T1618" s="4"/>
      <c r="U1618" s="4"/>
      <c r="V1618" s="4"/>
      <c r="W1618" s="4"/>
      <c r="X1618" s="4"/>
      <c r="Y1618" s="4"/>
      <c r="Z1618" s="4"/>
    </row>
    <row r="1619" spans="5:26" ht="15.75" customHeight="1" x14ac:dyDescent="0.15">
      <c r="E1619" s="4"/>
      <c r="F1619" s="4"/>
      <c r="G1619" s="4"/>
      <c r="H1619" s="4"/>
      <c r="I1619" s="4"/>
      <c r="J1619" s="4"/>
      <c r="K1619" s="4"/>
      <c r="L1619" s="4"/>
      <c r="M1619" s="4"/>
      <c r="N1619" s="4"/>
      <c r="O1619" s="4"/>
      <c r="P1619" s="4"/>
      <c r="Q1619" s="4"/>
      <c r="R1619" s="4"/>
      <c r="S1619" s="4"/>
      <c r="T1619" s="4"/>
      <c r="U1619" s="4"/>
      <c r="V1619" s="4"/>
      <c r="W1619" s="4"/>
      <c r="X1619" s="4"/>
      <c r="Y1619" s="4"/>
      <c r="Z1619" s="4"/>
    </row>
    <row r="1620" spans="5:26" ht="15.75" customHeight="1" x14ac:dyDescent="0.15">
      <c r="E1620" s="4"/>
      <c r="F1620" s="4"/>
      <c r="G1620" s="4"/>
      <c r="H1620" s="4"/>
      <c r="I1620" s="4"/>
      <c r="J1620" s="4"/>
      <c r="K1620" s="4"/>
      <c r="L1620" s="4"/>
      <c r="M1620" s="4"/>
      <c r="N1620" s="4"/>
      <c r="O1620" s="4"/>
      <c r="P1620" s="4"/>
      <c r="Q1620" s="4"/>
      <c r="R1620" s="4"/>
      <c r="S1620" s="4"/>
      <c r="T1620" s="4"/>
      <c r="U1620" s="4"/>
      <c r="V1620" s="4"/>
      <c r="W1620" s="4"/>
      <c r="X1620" s="4"/>
      <c r="Y1620" s="4"/>
      <c r="Z1620" s="4"/>
    </row>
    <row r="1621" spans="5:26" ht="15.75" customHeight="1" x14ac:dyDescent="0.15">
      <c r="E1621" s="4"/>
      <c r="F1621" s="4"/>
      <c r="G1621" s="4"/>
      <c r="H1621" s="4"/>
      <c r="I1621" s="4"/>
      <c r="J1621" s="4"/>
      <c r="K1621" s="4"/>
      <c r="L1621" s="4"/>
      <c r="M1621" s="4"/>
      <c r="N1621" s="4"/>
      <c r="O1621" s="4"/>
      <c r="P1621" s="4"/>
      <c r="Q1621" s="4"/>
      <c r="R1621" s="4"/>
      <c r="S1621" s="4"/>
      <c r="T1621" s="4"/>
      <c r="U1621" s="4"/>
      <c r="V1621" s="4"/>
      <c r="W1621" s="4"/>
      <c r="X1621" s="4"/>
      <c r="Y1621" s="4"/>
      <c r="Z1621" s="4"/>
    </row>
    <row r="1622" spans="5:26" ht="15.75" customHeight="1" x14ac:dyDescent="0.15">
      <c r="E1622" s="4"/>
      <c r="F1622" s="4"/>
      <c r="G1622" s="4"/>
      <c r="H1622" s="4"/>
      <c r="I1622" s="4"/>
      <c r="J1622" s="4"/>
      <c r="K1622" s="4"/>
      <c r="L1622" s="4"/>
      <c r="M1622" s="4"/>
      <c r="N1622" s="4"/>
      <c r="O1622" s="4"/>
      <c r="P1622" s="4"/>
      <c r="Q1622" s="4"/>
      <c r="R1622" s="4"/>
      <c r="S1622" s="4"/>
      <c r="T1622" s="4"/>
      <c r="U1622" s="4"/>
      <c r="V1622" s="4"/>
      <c r="W1622" s="4"/>
      <c r="X1622" s="4"/>
      <c r="Y1622" s="4"/>
      <c r="Z1622" s="4"/>
    </row>
    <row r="1623" spans="5:26" ht="15.75" customHeight="1" x14ac:dyDescent="0.15">
      <c r="E1623" s="4"/>
      <c r="F1623" s="4"/>
      <c r="G1623" s="4"/>
      <c r="H1623" s="4"/>
      <c r="I1623" s="4"/>
      <c r="J1623" s="4"/>
      <c r="K1623" s="4"/>
      <c r="L1623" s="4"/>
      <c r="M1623" s="4"/>
      <c r="N1623" s="4"/>
      <c r="O1623" s="4"/>
      <c r="P1623" s="4"/>
      <c r="Q1623" s="4"/>
      <c r="R1623" s="4"/>
      <c r="S1623" s="4"/>
      <c r="T1623" s="4"/>
      <c r="U1623" s="4"/>
      <c r="V1623" s="4"/>
      <c r="W1623" s="4"/>
      <c r="X1623" s="4"/>
      <c r="Y1623" s="4"/>
      <c r="Z1623" s="4"/>
    </row>
    <row r="1624" spans="5:26" ht="15.75" customHeight="1" x14ac:dyDescent="0.15">
      <c r="E1624" s="4"/>
      <c r="F1624" s="4"/>
      <c r="G1624" s="4"/>
      <c r="H1624" s="4"/>
      <c r="I1624" s="4"/>
      <c r="J1624" s="4"/>
      <c r="K1624" s="4"/>
      <c r="L1624" s="4"/>
      <c r="M1624" s="4"/>
      <c r="N1624" s="4"/>
      <c r="O1624" s="4"/>
      <c r="P1624" s="4"/>
      <c r="Q1624" s="4"/>
      <c r="R1624" s="4"/>
      <c r="S1624" s="4"/>
      <c r="T1624" s="4"/>
      <c r="U1624" s="4"/>
      <c r="V1624" s="4"/>
      <c r="W1624" s="4"/>
      <c r="X1624" s="4"/>
      <c r="Y1624" s="4"/>
      <c r="Z1624" s="4"/>
    </row>
    <row r="1625" spans="5:26" ht="15.75" customHeight="1" x14ac:dyDescent="0.15">
      <c r="E1625" s="4"/>
      <c r="F1625" s="4"/>
      <c r="G1625" s="4"/>
      <c r="H1625" s="4"/>
      <c r="I1625" s="4"/>
      <c r="J1625" s="4"/>
      <c r="K1625" s="4"/>
      <c r="L1625" s="4"/>
      <c r="M1625" s="4"/>
      <c r="N1625" s="4"/>
      <c r="O1625" s="4"/>
      <c r="P1625" s="4"/>
      <c r="Q1625" s="4"/>
      <c r="R1625" s="4"/>
      <c r="S1625" s="4"/>
      <c r="T1625" s="4"/>
      <c r="U1625" s="4"/>
      <c r="V1625" s="4"/>
      <c r="W1625" s="4"/>
      <c r="X1625" s="4"/>
      <c r="Y1625" s="4"/>
      <c r="Z1625" s="4"/>
    </row>
    <row r="1626" spans="5:26" ht="15.75" customHeight="1" x14ac:dyDescent="0.15">
      <c r="E1626" s="4"/>
      <c r="F1626" s="4"/>
      <c r="G1626" s="4"/>
      <c r="H1626" s="4"/>
      <c r="I1626" s="4"/>
      <c r="J1626" s="4"/>
      <c r="K1626" s="4"/>
      <c r="L1626" s="4"/>
      <c r="M1626" s="4"/>
      <c r="N1626" s="4"/>
      <c r="O1626" s="4"/>
      <c r="P1626" s="4"/>
      <c r="Q1626" s="4"/>
      <c r="R1626" s="4"/>
      <c r="S1626" s="4"/>
      <c r="T1626" s="4"/>
      <c r="U1626" s="4"/>
      <c r="V1626" s="4"/>
      <c r="W1626" s="4"/>
      <c r="X1626" s="4"/>
      <c r="Y1626" s="4"/>
      <c r="Z1626" s="4"/>
    </row>
    <row r="1627" spans="5:26" ht="15.75" customHeight="1" x14ac:dyDescent="0.15">
      <c r="E1627" s="4"/>
      <c r="F1627" s="4"/>
      <c r="G1627" s="4"/>
      <c r="H1627" s="4"/>
      <c r="I1627" s="4"/>
      <c r="J1627" s="4"/>
      <c r="K1627" s="4"/>
      <c r="L1627" s="4"/>
      <c r="M1627" s="4"/>
      <c r="N1627" s="4"/>
      <c r="O1627" s="4"/>
      <c r="P1627" s="4"/>
      <c r="Q1627" s="4"/>
      <c r="R1627" s="4"/>
      <c r="S1627" s="4"/>
      <c r="T1627" s="4"/>
      <c r="U1627" s="4"/>
      <c r="V1627" s="4"/>
      <c r="W1627" s="4"/>
      <c r="X1627" s="4"/>
      <c r="Y1627" s="4"/>
      <c r="Z1627" s="4"/>
    </row>
    <row r="1628" spans="5:26" ht="15.75" customHeight="1" x14ac:dyDescent="0.15">
      <c r="E1628" s="4"/>
      <c r="F1628" s="4"/>
      <c r="G1628" s="4"/>
      <c r="H1628" s="4"/>
      <c r="I1628" s="4"/>
      <c r="J1628" s="4"/>
      <c r="K1628" s="4"/>
      <c r="L1628" s="4"/>
      <c r="M1628" s="4"/>
      <c r="N1628" s="4"/>
      <c r="O1628" s="4"/>
      <c r="P1628" s="4"/>
      <c r="Q1628" s="4"/>
      <c r="R1628" s="4"/>
      <c r="S1628" s="4"/>
      <c r="T1628" s="4"/>
      <c r="U1628" s="4"/>
      <c r="V1628" s="4"/>
      <c r="W1628" s="4"/>
      <c r="X1628" s="4"/>
      <c r="Y1628" s="4"/>
      <c r="Z1628" s="4"/>
    </row>
    <row r="1629" spans="5:26" ht="15.75" customHeight="1" x14ac:dyDescent="0.15">
      <c r="E1629" s="4"/>
      <c r="F1629" s="4"/>
      <c r="G1629" s="4"/>
      <c r="H1629" s="4"/>
      <c r="I1629" s="4"/>
      <c r="J1629" s="4"/>
      <c r="K1629" s="4"/>
      <c r="L1629" s="4"/>
      <c r="M1629" s="4"/>
      <c r="N1629" s="4"/>
      <c r="O1629" s="4"/>
      <c r="P1629" s="4"/>
      <c r="Q1629" s="4"/>
      <c r="R1629" s="4"/>
      <c r="S1629" s="4"/>
      <c r="T1629" s="4"/>
      <c r="U1629" s="4"/>
      <c r="V1629" s="4"/>
      <c r="W1629" s="4"/>
      <c r="X1629" s="4"/>
      <c r="Y1629" s="4"/>
      <c r="Z1629" s="4"/>
    </row>
    <row r="1630" spans="5:26" ht="15.75" customHeight="1" x14ac:dyDescent="0.15">
      <c r="E1630" s="4"/>
      <c r="F1630" s="4"/>
      <c r="G1630" s="4"/>
      <c r="H1630" s="4"/>
      <c r="I1630" s="4"/>
      <c r="J1630" s="4"/>
      <c r="K1630" s="4"/>
      <c r="L1630" s="4"/>
      <c r="M1630" s="4"/>
      <c r="N1630" s="4"/>
      <c r="O1630" s="4"/>
      <c r="P1630" s="4"/>
      <c r="Q1630" s="4"/>
      <c r="R1630" s="4"/>
      <c r="S1630" s="4"/>
      <c r="T1630" s="4"/>
      <c r="U1630" s="4"/>
      <c r="V1630" s="4"/>
      <c r="W1630" s="4"/>
      <c r="X1630" s="4"/>
      <c r="Y1630" s="4"/>
      <c r="Z1630" s="4"/>
    </row>
    <row r="1631" spans="5:26" ht="15.75" customHeight="1" x14ac:dyDescent="0.15">
      <c r="E1631" s="4"/>
      <c r="F1631" s="4"/>
      <c r="G1631" s="4"/>
      <c r="H1631" s="4"/>
      <c r="I1631" s="4"/>
      <c r="J1631" s="4"/>
      <c r="K1631" s="4"/>
      <c r="L1631" s="4"/>
      <c r="M1631" s="4"/>
      <c r="N1631" s="4"/>
      <c r="O1631" s="4"/>
      <c r="P1631" s="4"/>
      <c r="Q1631" s="4"/>
      <c r="R1631" s="4"/>
      <c r="S1631" s="4"/>
      <c r="T1631" s="4"/>
      <c r="U1631" s="4"/>
      <c r="V1631" s="4"/>
      <c r="W1631" s="4"/>
      <c r="X1631" s="4"/>
      <c r="Y1631" s="4"/>
      <c r="Z1631" s="4"/>
    </row>
    <row r="1632" spans="5:26" ht="15.75" customHeight="1" x14ac:dyDescent="0.15">
      <c r="E1632" s="4"/>
      <c r="F1632" s="4"/>
      <c r="G1632" s="4"/>
      <c r="H1632" s="4"/>
      <c r="I1632" s="4"/>
      <c r="J1632" s="4"/>
      <c r="K1632" s="4"/>
      <c r="L1632" s="4"/>
      <c r="M1632" s="4"/>
      <c r="N1632" s="4"/>
      <c r="O1632" s="4"/>
      <c r="P1632" s="4"/>
      <c r="Q1632" s="4"/>
      <c r="R1632" s="4"/>
      <c r="S1632" s="4"/>
      <c r="T1632" s="4"/>
      <c r="U1632" s="4"/>
      <c r="V1632" s="4"/>
      <c r="W1632" s="4"/>
      <c r="X1632" s="4"/>
      <c r="Y1632" s="4"/>
      <c r="Z1632" s="4"/>
    </row>
    <row r="1633" spans="5:26" ht="15.75" customHeight="1" x14ac:dyDescent="0.15">
      <c r="E1633" s="4"/>
      <c r="F1633" s="4"/>
      <c r="G1633" s="4"/>
      <c r="H1633" s="4"/>
      <c r="I1633" s="4"/>
      <c r="J1633" s="4"/>
      <c r="K1633" s="4"/>
      <c r="L1633" s="4"/>
      <c r="M1633" s="4"/>
      <c r="N1633" s="4"/>
      <c r="O1633" s="4"/>
      <c r="P1633" s="4"/>
      <c r="Q1633" s="4"/>
      <c r="R1633" s="4"/>
      <c r="S1633" s="4"/>
      <c r="T1633" s="4"/>
      <c r="U1633" s="4"/>
      <c r="V1633" s="4"/>
      <c r="W1633" s="4"/>
      <c r="X1633" s="4"/>
      <c r="Y1633" s="4"/>
      <c r="Z1633" s="4"/>
    </row>
    <row r="1634" spans="5:26" ht="15.75" customHeight="1" x14ac:dyDescent="0.15">
      <c r="E1634" s="4"/>
      <c r="F1634" s="4"/>
      <c r="G1634" s="4"/>
      <c r="H1634" s="4"/>
      <c r="I1634" s="4"/>
      <c r="J1634" s="4"/>
      <c r="K1634" s="4"/>
      <c r="L1634" s="4"/>
      <c r="M1634" s="4"/>
      <c r="N1634" s="4"/>
      <c r="O1634" s="4"/>
      <c r="P1634" s="4"/>
      <c r="Q1634" s="4"/>
      <c r="R1634" s="4"/>
      <c r="S1634" s="4"/>
      <c r="T1634" s="4"/>
      <c r="U1634" s="4"/>
      <c r="V1634" s="4"/>
      <c r="W1634" s="4"/>
      <c r="X1634" s="4"/>
      <c r="Y1634" s="4"/>
      <c r="Z1634" s="4"/>
    </row>
    <row r="1635" spans="5:26" ht="15.75" customHeight="1" x14ac:dyDescent="0.15">
      <c r="E1635" s="4"/>
      <c r="F1635" s="4"/>
      <c r="G1635" s="4"/>
      <c r="H1635" s="4"/>
      <c r="I1635" s="4"/>
      <c r="J1635" s="4"/>
      <c r="K1635" s="4"/>
      <c r="L1635" s="4"/>
      <c r="M1635" s="4"/>
      <c r="N1635" s="4"/>
      <c r="O1635" s="4"/>
      <c r="P1635" s="4"/>
      <c r="Q1635" s="4"/>
      <c r="R1635" s="4"/>
      <c r="S1635" s="4"/>
      <c r="T1635" s="4"/>
      <c r="U1635" s="4"/>
      <c r="V1635" s="4"/>
      <c r="W1635" s="4"/>
      <c r="X1635" s="4"/>
      <c r="Y1635" s="4"/>
      <c r="Z1635" s="4"/>
    </row>
    <row r="1636" spans="5:26" ht="15.75" customHeight="1" x14ac:dyDescent="0.15">
      <c r="E1636" s="4"/>
      <c r="F1636" s="4"/>
      <c r="G1636" s="4"/>
      <c r="H1636" s="4"/>
      <c r="I1636" s="4"/>
      <c r="J1636" s="4"/>
      <c r="K1636" s="4"/>
      <c r="L1636" s="4"/>
      <c r="M1636" s="4"/>
      <c r="N1636" s="4"/>
      <c r="O1636" s="4"/>
      <c r="P1636" s="4"/>
      <c r="Q1636" s="4"/>
      <c r="R1636" s="4"/>
      <c r="S1636" s="4"/>
      <c r="T1636" s="4"/>
      <c r="U1636" s="4"/>
      <c r="V1636" s="4"/>
      <c r="W1636" s="4"/>
      <c r="X1636" s="4"/>
      <c r="Y1636" s="4"/>
      <c r="Z1636" s="4"/>
    </row>
    <row r="1637" spans="5:26" ht="15.75" customHeight="1" x14ac:dyDescent="0.15">
      <c r="E1637" s="4"/>
      <c r="F1637" s="4"/>
      <c r="G1637" s="4"/>
      <c r="H1637" s="4"/>
      <c r="I1637" s="4"/>
      <c r="J1637" s="4"/>
      <c r="K1637" s="4"/>
      <c r="L1637" s="4"/>
      <c r="M1637" s="4"/>
      <c r="N1637" s="4"/>
      <c r="O1637" s="4"/>
      <c r="P1637" s="4"/>
      <c r="Q1637" s="4"/>
      <c r="R1637" s="4"/>
      <c r="S1637" s="4"/>
      <c r="T1637" s="4"/>
      <c r="U1637" s="4"/>
      <c r="V1637" s="4"/>
      <c r="W1637" s="4"/>
      <c r="X1637" s="4"/>
      <c r="Y1637" s="4"/>
      <c r="Z1637" s="4"/>
    </row>
    <row r="1638" spans="5:26" ht="15.75" customHeight="1" x14ac:dyDescent="0.15">
      <c r="E1638" s="4"/>
      <c r="F1638" s="4"/>
      <c r="G1638" s="4"/>
      <c r="H1638" s="4"/>
      <c r="I1638" s="4"/>
      <c r="J1638" s="4"/>
      <c r="K1638" s="4"/>
      <c r="L1638" s="4"/>
      <c r="M1638" s="4"/>
      <c r="N1638" s="4"/>
      <c r="O1638" s="4"/>
      <c r="P1638" s="4"/>
      <c r="Q1638" s="4"/>
      <c r="R1638" s="4"/>
      <c r="S1638" s="4"/>
      <c r="T1638" s="4"/>
      <c r="U1638" s="4"/>
      <c r="V1638" s="4"/>
      <c r="W1638" s="4"/>
      <c r="X1638" s="4"/>
      <c r="Y1638" s="4"/>
      <c r="Z1638" s="4"/>
    </row>
    <row r="1639" spans="5:26" ht="15.75" customHeight="1" x14ac:dyDescent="0.15">
      <c r="E1639" s="4"/>
      <c r="F1639" s="4"/>
      <c r="G1639" s="4"/>
      <c r="H1639" s="4"/>
      <c r="I1639" s="4"/>
      <c r="J1639" s="4"/>
      <c r="K1639" s="4"/>
      <c r="L1639" s="4"/>
      <c r="M1639" s="4"/>
      <c r="N1639" s="4"/>
      <c r="O1639" s="4"/>
      <c r="P1639" s="4"/>
      <c r="Q1639" s="4"/>
      <c r="R1639" s="4"/>
      <c r="S1639" s="4"/>
      <c r="T1639" s="4"/>
      <c r="U1639" s="4"/>
      <c r="V1639" s="4"/>
      <c r="W1639" s="4"/>
      <c r="X1639" s="4"/>
      <c r="Y1639" s="4"/>
      <c r="Z1639" s="4"/>
    </row>
    <row r="1640" spans="5:26" ht="15.75" customHeight="1" x14ac:dyDescent="0.15">
      <c r="E1640" s="4"/>
      <c r="F1640" s="4"/>
      <c r="G1640" s="4"/>
      <c r="H1640" s="4"/>
      <c r="I1640" s="4"/>
      <c r="J1640" s="4"/>
      <c r="K1640" s="4"/>
      <c r="L1640" s="4"/>
      <c r="M1640" s="4"/>
      <c r="N1640" s="4"/>
      <c r="O1640" s="4"/>
      <c r="P1640" s="4"/>
      <c r="Q1640" s="4"/>
      <c r="R1640" s="4"/>
      <c r="S1640" s="4"/>
      <c r="T1640" s="4"/>
      <c r="U1640" s="4"/>
      <c r="V1640" s="4"/>
      <c r="W1640" s="4"/>
      <c r="X1640" s="4"/>
      <c r="Y1640" s="4"/>
      <c r="Z1640" s="4"/>
    </row>
    <row r="1641" spans="5:26" ht="15.75" customHeight="1" x14ac:dyDescent="0.15">
      <c r="E1641" s="4"/>
      <c r="F1641" s="4"/>
      <c r="G1641" s="4"/>
      <c r="H1641" s="4"/>
      <c r="I1641" s="4"/>
      <c r="J1641" s="4"/>
      <c r="K1641" s="4"/>
      <c r="L1641" s="4"/>
      <c r="M1641" s="4"/>
      <c r="N1641" s="4"/>
      <c r="O1641" s="4"/>
      <c r="P1641" s="4"/>
      <c r="Q1641" s="4"/>
      <c r="R1641" s="4"/>
      <c r="S1641" s="4"/>
      <c r="T1641" s="4"/>
      <c r="U1641" s="4"/>
      <c r="V1641" s="4"/>
      <c r="W1641" s="4"/>
      <c r="X1641" s="4"/>
      <c r="Y1641" s="4"/>
      <c r="Z1641" s="4"/>
    </row>
    <row r="1642" spans="5:26" ht="15.75" customHeight="1" x14ac:dyDescent="0.15">
      <c r="E1642" s="4"/>
      <c r="F1642" s="4"/>
      <c r="G1642" s="4"/>
      <c r="H1642" s="4"/>
      <c r="I1642" s="4"/>
      <c r="J1642" s="4"/>
      <c r="K1642" s="4"/>
      <c r="L1642" s="4"/>
      <c r="M1642" s="4"/>
      <c r="N1642" s="4"/>
      <c r="O1642" s="4"/>
      <c r="P1642" s="4"/>
      <c r="Q1642" s="4"/>
      <c r="R1642" s="4"/>
      <c r="S1642" s="4"/>
      <c r="T1642" s="4"/>
      <c r="U1642" s="4"/>
      <c r="V1642" s="4"/>
      <c r="W1642" s="4"/>
      <c r="X1642" s="4"/>
      <c r="Y1642" s="4"/>
      <c r="Z1642" s="4"/>
    </row>
    <row r="1643" spans="5:26" ht="15.75" customHeight="1" x14ac:dyDescent="0.15">
      <c r="E1643" s="4"/>
      <c r="F1643" s="4"/>
      <c r="G1643" s="4"/>
      <c r="H1643" s="4"/>
      <c r="I1643" s="4"/>
      <c r="J1643" s="4"/>
      <c r="K1643" s="4"/>
      <c r="L1643" s="4"/>
      <c r="M1643" s="4"/>
      <c r="N1643" s="4"/>
      <c r="O1643" s="4"/>
      <c r="P1643" s="4"/>
      <c r="Q1643" s="4"/>
      <c r="R1643" s="4"/>
      <c r="S1643" s="4"/>
      <c r="T1643" s="4"/>
      <c r="U1643" s="4"/>
      <c r="V1643" s="4"/>
      <c r="W1643" s="4"/>
      <c r="X1643" s="4"/>
      <c r="Y1643" s="4"/>
      <c r="Z1643" s="4"/>
    </row>
    <row r="1644" spans="5:26" ht="15.75" customHeight="1" x14ac:dyDescent="0.15">
      <c r="E1644" s="4"/>
      <c r="F1644" s="4"/>
      <c r="G1644" s="4"/>
      <c r="H1644" s="4"/>
      <c r="I1644" s="4"/>
      <c r="J1644" s="4"/>
      <c r="K1644" s="4"/>
      <c r="L1644" s="4"/>
      <c r="M1644" s="4"/>
      <c r="N1644" s="4"/>
      <c r="O1644" s="4"/>
      <c r="P1644" s="4"/>
      <c r="Q1644" s="4"/>
      <c r="R1644" s="4"/>
      <c r="S1644" s="4"/>
      <c r="T1644" s="4"/>
      <c r="U1644" s="4"/>
      <c r="V1644" s="4"/>
      <c r="W1644" s="4"/>
      <c r="X1644" s="4"/>
      <c r="Y1644" s="4"/>
      <c r="Z1644" s="4"/>
    </row>
    <row r="1645" spans="5:26" ht="15.75" customHeight="1" x14ac:dyDescent="0.15">
      <c r="E1645" s="4"/>
      <c r="F1645" s="4"/>
      <c r="G1645" s="4"/>
      <c r="H1645" s="4"/>
      <c r="I1645" s="4"/>
      <c r="J1645" s="4"/>
      <c r="K1645" s="4"/>
      <c r="L1645" s="4"/>
      <c r="M1645" s="4"/>
      <c r="N1645" s="4"/>
      <c r="O1645" s="4"/>
      <c r="P1645" s="4"/>
      <c r="Q1645" s="4"/>
      <c r="R1645" s="4"/>
      <c r="S1645" s="4"/>
      <c r="T1645" s="4"/>
      <c r="U1645" s="4"/>
      <c r="V1645" s="4"/>
      <c r="W1645" s="4"/>
      <c r="X1645" s="4"/>
      <c r="Y1645" s="4"/>
      <c r="Z1645" s="4"/>
    </row>
    <row r="1646" spans="5:26" ht="15.75" customHeight="1" x14ac:dyDescent="0.15">
      <c r="E1646" s="4"/>
      <c r="F1646" s="4"/>
      <c r="G1646" s="4"/>
      <c r="H1646" s="4"/>
      <c r="I1646" s="4"/>
      <c r="J1646" s="4"/>
      <c r="K1646" s="4"/>
      <c r="L1646" s="4"/>
      <c r="M1646" s="4"/>
      <c r="N1646" s="4"/>
      <c r="O1646" s="4"/>
      <c r="P1646" s="4"/>
      <c r="Q1646" s="4"/>
      <c r="R1646" s="4"/>
      <c r="S1646" s="4"/>
      <c r="T1646" s="4"/>
      <c r="U1646" s="4"/>
      <c r="V1646" s="4"/>
      <c r="W1646" s="4"/>
      <c r="X1646" s="4"/>
      <c r="Y1646" s="4"/>
      <c r="Z1646" s="4"/>
    </row>
    <row r="1647" spans="5:26" ht="15.75" customHeight="1" x14ac:dyDescent="0.15">
      <c r="E1647" s="4"/>
      <c r="F1647" s="4"/>
      <c r="G1647" s="4"/>
      <c r="H1647" s="4"/>
      <c r="I1647" s="4"/>
      <c r="J1647" s="4"/>
      <c r="K1647" s="4"/>
      <c r="L1647" s="4"/>
      <c r="M1647" s="4"/>
      <c r="N1647" s="4"/>
      <c r="O1647" s="4"/>
      <c r="P1647" s="4"/>
      <c r="Q1647" s="4"/>
      <c r="R1647" s="4"/>
      <c r="S1647" s="4"/>
      <c r="T1647" s="4"/>
      <c r="U1647" s="4"/>
      <c r="V1647" s="4"/>
      <c r="W1647" s="4"/>
      <c r="X1647" s="4"/>
      <c r="Y1647" s="4"/>
      <c r="Z1647" s="4"/>
    </row>
    <row r="1648" spans="5:26" ht="15.75" customHeight="1" x14ac:dyDescent="0.15">
      <c r="E1648" s="4"/>
      <c r="F1648" s="4"/>
      <c r="G1648" s="4"/>
      <c r="H1648" s="4"/>
      <c r="I1648" s="4"/>
      <c r="J1648" s="4"/>
      <c r="K1648" s="4"/>
      <c r="L1648" s="4"/>
      <c r="M1648" s="4"/>
      <c r="N1648" s="4"/>
      <c r="O1648" s="4"/>
      <c r="P1648" s="4"/>
      <c r="Q1648" s="4"/>
      <c r="R1648" s="4"/>
      <c r="S1648" s="4"/>
      <c r="T1648" s="4"/>
      <c r="U1648" s="4"/>
      <c r="V1648" s="4"/>
      <c r="W1648" s="4"/>
      <c r="X1648" s="4"/>
      <c r="Y1648" s="4"/>
      <c r="Z1648" s="4"/>
    </row>
    <row r="1649" spans="5:26" ht="15.75" customHeight="1" x14ac:dyDescent="0.15">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5:26" ht="15.75" customHeight="1" x14ac:dyDescent="0.15">
      <c r="E1650" s="4"/>
      <c r="F1650" s="4"/>
      <c r="G1650" s="4"/>
      <c r="H1650" s="4"/>
      <c r="I1650" s="4"/>
      <c r="J1650" s="4"/>
      <c r="K1650" s="4"/>
      <c r="L1650" s="4"/>
      <c r="M1650" s="4"/>
      <c r="N1650" s="4"/>
      <c r="O1650" s="4"/>
      <c r="P1650" s="4"/>
      <c r="Q1650" s="4"/>
      <c r="R1650" s="4"/>
      <c r="S1650" s="4"/>
      <c r="T1650" s="4"/>
      <c r="U1650" s="4"/>
      <c r="V1650" s="4"/>
      <c r="W1650" s="4"/>
      <c r="X1650" s="4"/>
      <c r="Y1650" s="4"/>
      <c r="Z1650" s="4"/>
    </row>
    <row r="1651" spans="5:26" ht="15.75" customHeight="1" x14ac:dyDescent="0.15">
      <c r="E1651" s="4"/>
      <c r="F1651" s="4"/>
      <c r="G1651" s="4"/>
      <c r="H1651" s="4"/>
      <c r="I1651" s="4"/>
      <c r="J1651" s="4"/>
      <c r="K1651" s="4"/>
      <c r="L1651" s="4"/>
      <c r="M1651" s="4"/>
      <c r="N1651" s="4"/>
      <c r="O1651" s="4"/>
      <c r="P1651" s="4"/>
      <c r="Q1651" s="4"/>
      <c r="R1651" s="4"/>
      <c r="S1651" s="4"/>
      <c r="T1651" s="4"/>
      <c r="U1651" s="4"/>
      <c r="V1651" s="4"/>
      <c r="W1651" s="4"/>
      <c r="X1651" s="4"/>
      <c r="Y1651" s="4"/>
      <c r="Z1651" s="4"/>
    </row>
    <row r="1652" spans="5:26" ht="15.75" customHeight="1" x14ac:dyDescent="0.15">
      <c r="E1652" s="4"/>
      <c r="F1652" s="4"/>
      <c r="G1652" s="4"/>
      <c r="H1652" s="4"/>
      <c r="I1652" s="4"/>
      <c r="J1652" s="4"/>
      <c r="K1652" s="4"/>
      <c r="L1652" s="4"/>
      <c r="M1652" s="4"/>
      <c r="N1652" s="4"/>
      <c r="O1652" s="4"/>
      <c r="P1652" s="4"/>
      <c r="Q1652" s="4"/>
      <c r="R1652" s="4"/>
      <c r="S1652" s="4"/>
      <c r="T1652" s="4"/>
      <c r="U1652" s="4"/>
      <c r="V1652" s="4"/>
      <c r="W1652" s="4"/>
      <c r="X1652" s="4"/>
      <c r="Y1652" s="4"/>
      <c r="Z1652" s="4"/>
    </row>
    <row r="1653" spans="5:26" ht="15.75" customHeight="1" x14ac:dyDescent="0.15">
      <c r="E1653" s="4"/>
      <c r="F1653" s="4"/>
      <c r="G1653" s="4"/>
      <c r="H1653" s="4"/>
      <c r="I1653" s="4"/>
      <c r="J1653" s="4"/>
      <c r="K1653" s="4"/>
      <c r="L1653" s="4"/>
      <c r="M1653" s="4"/>
      <c r="N1653" s="4"/>
      <c r="O1653" s="4"/>
      <c r="P1653" s="4"/>
      <c r="Q1653" s="4"/>
      <c r="R1653" s="4"/>
      <c r="S1653" s="4"/>
      <c r="T1653" s="4"/>
      <c r="U1653" s="4"/>
      <c r="V1653" s="4"/>
      <c r="W1653" s="4"/>
      <c r="X1653" s="4"/>
      <c r="Y1653" s="4"/>
      <c r="Z1653" s="4"/>
    </row>
    <row r="1654" spans="5:26" ht="15.75" customHeight="1" x14ac:dyDescent="0.15">
      <c r="E1654" s="4"/>
      <c r="F1654" s="4"/>
      <c r="G1654" s="4"/>
      <c r="H1654" s="4"/>
      <c r="I1654" s="4"/>
      <c r="J1654" s="4"/>
      <c r="K1654" s="4"/>
      <c r="L1654" s="4"/>
      <c r="M1654" s="4"/>
      <c r="N1654" s="4"/>
      <c r="O1654" s="4"/>
      <c r="P1654" s="4"/>
      <c r="Q1654" s="4"/>
      <c r="R1654" s="4"/>
      <c r="S1654" s="4"/>
      <c r="T1654" s="4"/>
      <c r="U1654" s="4"/>
      <c r="V1654" s="4"/>
      <c r="W1654" s="4"/>
      <c r="X1654" s="4"/>
      <c r="Y1654" s="4"/>
      <c r="Z1654" s="4"/>
    </row>
    <row r="1655" spans="5:26" ht="15.75" customHeight="1" x14ac:dyDescent="0.15">
      <c r="E1655" s="4"/>
      <c r="F1655" s="4"/>
      <c r="G1655" s="4"/>
      <c r="H1655" s="4"/>
      <c r="I1655" s="4"/>
      <c r="J1655" s="4"/>
      <c r="K1655" s="4"/>
      <c r="L1655" s="4"/>
      <c r="M1655" s="4"/>
      <c r="N1655" s="4"/>
      <c r="O1655" s="4"/>
      <c r="P1655" s="4"/>
      <c r="Q1655" s="4"/>
      <c r="R1655" s="4"/>
      <c r="S1655" s="4"/>
      <c r="T1655" s="4"/>
      <c r="U1655" s="4"/>
      <c r="V1655" s="4"/>
      <c r="W1655" s="4"/>
      <c r="X1655" s="4"/>
      <c r="Y1655" s="4"/>
      <c r="Z1655" s="4"/>
    </row>
    <row r="1656" spans="5:26" ht="15.75" customHeight="1" x14ac:dyDescent="0.15">
      <c r="E1656" s="4"/>
      <c r="F1656" s="4"/>
      <c r="G1656" s="4"/>
      <c r="H1656" s="4"/>
      <c r="I1656" s="4"/>
      <c r="J1656" s="4"/>
      <c r="K1656" s="4"/>
      <c r="L1656" s="4"/>
      <c r="M1656" s="4"/>
      <c r="N1656" s="4"/>
      <c r="O1656" s="4"/>
      <c r="P1656" s="4"/>
      <c r="Q1656" s="4"/>
      <c r="R1656" s="4"/>
      <c r="S1656" s="4"/>
      <c r="T1656" s="4"/>
      <c r="U1656" s="4"/>
      <c r="V1656" s="4"/>
      <c r="W1656" s="4"/>
      <c r="X1656" s="4"/>
      <c r="Y1656" s="4"/>
      <c r="Z1656" s="4"/>
    </row>
    <row r="1657" spans="5:26" ht="15.75" customHeight="1" x14ac:dyDescent="0.15">
      <c r="E1657" s="4"/>
      <c r="F1657" s="4"/>
      <c r="G1657" s="4"/>
      <c r="H1657" s="4"/>
      <c r="I1657" s="4"/>
      <c r="J1657" s="4"/>
      <c r="K1657" s="4"/>
      <c r="L1657" s="4"/>
      <c r="M1657" s="4"/>
      <c r="N1657" s="4"/>
      <c r="O1657" s="4"/>
      <c r="P1657" s="4"/>
      <c r="Q1657" s="4"/>
      <c r="R1657" s="4"/>
      <c r="S1657" s="4"/>
      <c r="T1657" s="4"/>
      <c r="U1657" s="4"/>
      <c r="V1657" s="4"/>
      <c r="W1657" s="4"/>
      <c r="X1657" s="4"/>
      <c r="Y1657" s="4"/>
      <c r="Z1657" s="4"/>
    </row>
  </sheetData>
  <hyperlinks>
    <hyperlink ref="B148" r:id="rId1" xr:uid="{00000000-0004-0000-0000-000000000000}"/>
    <hyperlink ref="B1281" r:id="rId2" xr:uid="{00000000-0004-0000-0000-000001000000}"/>
  </hyperlinks>
  <pageMargins left="0.7" right="0.7" top="0.75" bottom="0.75" header="0" footer="0"/>
  <pageSetup orientation="portrait"/>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workbookViewId="0">
      <pane ySplit="1" topLeftCell="A2" activePane="bottomLeft" state="frozen"/>
      <selection pane="bottomLeft" activeCell="B3" sqref="B3"/>
    </sheetView>
  </sheetViews>
  <sheetFormatPr baseColWidth="10" defaultColWidth="12.6640625" defaultRowHeight="15" customHeight="1" x14ac:dyDescent="0.15"/>
  <cols>
    <col min="1" max="1" width="13.33203125" customWidth="1"/>
    <col min="2" max="2" width="49.33203125" customWidth="1"/>
    <col min="3" max="3" width="35.6640625" customWidth="1"/>
    <col min="4" max="4" width="56.33203125" customWidth="1"/>
    <col min="5" max="5" width="53.5" customWidth="1"/>
    <col min="6" max="6" width="19.5" customWidth="1"/>
    <col min="7" max="7" width="76.5" customWidth="1"/>
    <col min="8" max="8" width="23" customWidth="1"/>
    <col min="9" max="27" width="8.83203125" customWidth="1"/>
  </cols>
  <sheetData>
    <row r="1" spans="1:27" ht="62.25" customHeight="1" x14ac:dyDescent="0.15">
      <c r="A1" s="8" t="s">
        <v>3021</v>
      </c>
      <c r="B1" s="8" t="s">
        <v>3022</v>
      </c>
      <c r="C1" s="8" t="s">
        <v>3023</v>
      </c>
      <c r="D1" s="8" t="s">
        <v>3024</v>
      </c>
      <c r="E1" s="8" t="s">
        <v>3025</v>
      </c>
      <c r="F1" s="8" t="s">
        <v>3026</v>
      </c>
      <c r="G1" s="8" t="s">
        <v>3027</v>
      </c>
      <c r="H1" s="8" t="s">
        <v>2</v>
      </c>
      <c r="I1" s="4"/>
      <c r="J1" s="4"/>
      <c r="K1" s="4"/>
      <c r="L1" s="4"/>
      <c r="M1" s="4"/>
      <c r="N1" s="4"/>
      <c r="O1" s="4"/>
      <c r="P1" s="4"/>
      <c r="Q1" s="4"/>
      <c r="R1" s="4"/>
      <c r="S1" s="4"/>
      <c r="T1" s="4"/>
      <c r="U1" s="4"/>
      <c r="V1" s="4"/>
      <c r="W1" s="4"/>
      <c r="X1" s="4"/>
      <c r="Y1" s="4"/>
      <c r="Z1" s="4"/>
      <c r="AA1" s="4"/>
    </row>
    <row r="2" spans="1:27" ht="62.25" customHeight="1" x14ac:dyDescent="0.15">
      <c r="A2" s="8"/>
      <c r="B2" s="8" t="s">
        <v>3028</v>
      </c>
      <c r="C2" s="8" t="s">
        <v>3029</v>
      </c>
      <c r="D2" s="8" t="s">
        <v>3030</v>
      </c>
      <c r="E2" s="8"/>
      <c r="F2" s="8" t="b">
        <v>0</v>
      </c>
      <c r="G2" s="8"/>
      <c r="H2" s="8" t="s">
        <v>3031</v>
      </c>
      <c r="I2" s="4"/>
      <c r="J2" s="4"/>
      <c r="K2" s="4"/>
      <c r="L2" s="4"/>
      <c r="M2" s="4"/>
      <c r="N2" s="4"/>
      <c r="O2" s="4"/>
      <c r="P2" s="4"/>
      <c r="Q2" s="4"/>
      <c r="R2" s="4"/>
      <c r="S2" s="4"/>
      <c r="T2" s="4"/>
      <c r="U2" s="4"/>
      <c r="V2" s="4"/>
      <c r="W2" s="4"/>
      <c r="X2" s="4"/>
      <c r="Y2" s="4"/>
      <c r="Z2" s="4"/>
      <c r="AA2" s="4"/>
    </row>
    <row r="3" spans="1:27" ht="62.25" customHeight="1" x14ac:dyDescent="0.15">
      <c r="A3" s="10"/>
      <c r="B3" s="10" t="s">
        <v>3032</v>
      </c>
      <c r="C3" s="8" t="s">
        <v>3033</v>
      </c>
      <c r="D3" s="8" t="s">
        <v>3034</v>
      </c>
      <c r="E3" s="8"/>
      <c r="F3" s="8" t="b">
        <v>1</v>
      </c>
      <c r="G3" s="8" t="s">
        <v>3035</v>
      </c>
      <c r="H3" s="8" t="s">
        <v>3036</v>
      </c>
      <c r="I3" s="4"/>
      <c r="J3" s="4"/>
      <c r="K3" s="4"/>
      <c r="L3" s="4"/>
      <c r="M3" s="4"/>
      <c r="N3" s="4"/>
      <c r="O3" s="4"/>
      <c r="P3" s="4"/>
      <c r="Q3" s="4"/>
      <c r="R3" s="4"/>
      <c r="S3" s="4"/>
      <c r="T3" s="4"/>
      <c r="U3" s="4"/>
      <c r="V3" s="4"/>
      <c r="W3" s="4"/>
      <c r="X3" s="4"/>
      <c r="Y3" s="4"/>
      <c r="Z3" s="4"/>
      <c r="AA3" s="4"/>
    </row>
    <row r="4" spans="1:27" ht="62.25" customHeight="1" x14ac:dyDescent="0.15">
      <c r="A4" s="8"/>
      <c r="B4" s="8"/>
      <c r="C4" s="8"/>
      <c r="D4" s="8"/>
      <c r="E4" s="8"/>
      <c r="F4" s="8" t="b">
        <v>1</v>
      </c>
      <c r="G4" s="10" t="s">
        <v>3037</v>
      </c>
      <c r="H4" s="8" t="s">
        <v>3038</v>
      </c>
      <c r="I4" s="4"/>
      <c r="J4" s="4"/>
      <c r="K4" s="4"/>
      <c r="L4" s="4"/>
      <c r="M4" s="4"/>
      <c r="N4" s="4"/>
      <c r="O4" s="4"/>
      <c r="P4" s="4"/>
      <c r="Q4" s="4"/>
      <c r="R4" s="4"/>
      <c r="S4" s="4"/>
      <c r="T4" s="4"/>
      <c r="U4" s="4"/>
      <c r="V4" s="4"/>
      <c r="W4" s="4"/>
      <c r="X4" s="4"/>
      <c r="Y4" s="4"/>
      <c r="Z4" s="4"/>
      <c r="AA4" s="4"/>
    </row>
    <row r="5" spans="1:27" ht="62.25" customHeight="1" x14ac:dyDescent="0.15">
      <c r="A5" s="8"/>
      <c r="B5" s="8" t="s">
        <v>3039</v>
      </c>
      <c r="C5" s="8"/>
      <c r="D5" s="8"/>
      <c r="E5" s="8"/>
      <c r="F5" s="8" t="b">
        <v>0</v>
      </c>
      <c r="G5" s="8"/>
      <c r="H5" s="8" t="s">
        <v>3040</v>
      </c>
      <c r="I5" s="4"/>
      <c r="J5" s="4"/>
      <c r="K5" s="4"/>
      <c r="L5" s="4"/>
      <c r="M5" s="4"/>
      <c r="N5" s="4"/>
      <c r="O5" s="4"/>
      <c r="P5" s="4"/>
      <c r="Q5" s="4"/>
      <c r="R5" s="4"/>
      <c r="S5" s="4"/>
      <c r="T5" s="4"/>
      <c r="U5" s="4"/>
      <c r="V5" s="4"/>
      <c r="W5" s="4"/>
      <c r="X5" s="4"/>
      <c r="Y5" s="4"/>
      <c r="Z5" s="4"/>
      <c r="AA5" s="4"/>
    </row>
    <row r="6" spans="1:27" ht="62.25" customHeight="1" x14ac:dyDescent="0.15">
      <c r="A6" s="10"/>
      <c r="B6" s="10" t="s">
        <v>3041</v>
      </c>
      <c r="C6" s="8" t="s">
        <v>3042</v>
      </c>
      <c r="D6" s="8" t="s">
        <v>3043</v>
      </c>
      <c r="E6" s="8" t="s">
        <v>3044</v>
      </c>
      <c r="F6" s="8" t="b">
        <v>0</v>
      </c>
      <c r="G6" s="8"/>
      <c r="H6" s="8" t="s">
        <v>3045</v>
      </c>
      <c r="I6" s="4"/>
      <c r="J6" s="4"/>
      <c r="K6" s="4"/>
      <c r="L6" s="4"/>
      <c r="M6" s="4"/>
      <c r="N6" s="4"/>
      <c r="O6" s="4"/>
      <c r="P6" s="4"/>
      <c r="Q6" s="4"/>
      <c r="R6" s="4"/>
      <c r="S6" s="4"/>
      <c r="T6" s="4"/>
      <c r="U6" s="4"/>
      <c r="V6" s="4"/>
      <c r="W6" s="4"/>
      <c r="X6" s="4"/>
      <c r="Y6" s="4"/>
      <c r="Z6" s="4"/>
      <c r="AA6" s="4"/>
    </row>
    <row r="7" spans="1:27" ht="62.25" customHeight="1" x14ac:dyDescent="0.15">
      <c r="A7" s="8"/>
      <c r="B7" s="8" t="s">
        <v>3046</v>
      </c>
      <c r="C7" s="8" t="s">
        <v>3047</v>
      </c>
      <c r="D7" s="8"/>
      <c r="E7" s="8"/>
      <c r="F7" s="8" t="b">
        <v>0</v>
      </c>
      <c r="G7" s="8"/>
      <c r="H7" s="8" t="s">
        <v>3048</v>
      </c>
      <c r="I7" s="4"/>
      <c r="J7" s="4"/>
      <c r="K7" s="4"/>
      <c r="L7" s="4"/>
      <c r="M7" s="4"/>
      <c r="N7" s="4"/>
      <c r="O7" s="4"/>
      <c r="P7" s="4"/>
      <c r="Q7" s="4"/>
      <c r="R7" s="4"/>
      <c r="S7" s="4"/>
      <c r="T7" s="4"/>
      <c r="U7" s="4"/>
      <c r="V7" s="4"/>
      <c r="W7" s="4"/>
      <c r="X7" s="4"/>
      <c r="Y7" s="4"/>
      <c r="Z7" s="4"/>
      <c r="AA7" s="4"/>
    </row>
    <row r="8" spans="1:27" ht="62.25" customHeight="1" x14ac:dyDescent="0.15">
      <c r="A8" s="8"/>
      <c r="B8" s="8" t="s">
        <v>3049</v>
      </c>
      <c r="C8" s="8" t="s">
        <v>3050</v>
      </c>
      <c r="D8" s="8"/>
      <c r="E8" s="8"/>
      <c r="F8" s="8" t="b">
        <v>1</v>
      </c>
      <c r="G8" s="8"/>
      <c r="H8" s="8" t="s">
        <v>3051</v>
      </c>
      <c r="I8" s="4"/>
      <c r="J8" s="4"/>
      <c r="K8" s="4"/>
      <c r="L8" s="4"/>
      <c r="M8" s="4"/>
      <c r="N8" s="4"/>
      <c r="O8" s="4"/>
      <c r="P8" s="4"/>
      <c r="Q8" s="4"/>
      <c r="R8" s="4"/>
      <c r="S8" s="4"/>
      <c r="T8" s="4"/>
      <c r="U8" s="4"/>
      <c r="V8" s="4"/>
      <c r="W8" s="4"/>
      <c r="X8" s="4"/>
      <c r="Y8" s="4"/>
      <c r="Z8" s="4"/>
      <c r="AA8" s="4"/>
    </row>
    <row r="9" spans="1:27" ht="62.25" customHeight="1" x14ac:dyDescent="0.15">
      <c r="A9" s="8"/>
      <c r="B9" s="8" t="s">
        <v>3052</v>
      </c>
      <c r="C9" s="8" t="s">
        <v>3053</v>
      </c>
      <c r="D9" s="8" t="s">
        <v>3054</v>
      </c>
      <c r="E9" s="8"/>
      <c r="F9" s="8" t="b">
        <v>0</v>
      </c>
      <c r="G9" s="8"/>
      <c r="H9" s="8" t="s">
        <v>3055</v>
      </c>
      <c r="I9" s="4"/>
      <c r="J9" s="4"/>
      <c r="K9" s="4"/>
      <c r="L9" s="4"/>
      <c r="M9" s="4"/>
      <c r="N9" s="4"/>
      <c r="O9" s="4"/>
      <c r="P9" s="4"/>
      <c r="Q9" s="4"/>
      <c r="R9" s="4"/>
      <c r="S9" s="4"/>
      <c r="T9" s="4"/>
      <c r="U9" s="4"/>
      <c r="V9" s="4"/>
      <c r="W9" s="4"/>
      <c r="X9" s="4"/>
      <c r="Y9" s="4"/>
      <c r="Z9" s="4"/>
      <c r="AA9" s="4"/>
    </row>
    <row r="10" spans="1:27" ht="62.25" customHeight="1" x14ac:dyDescent="0.15">
      <c r="A10" s="10"/>
      <c r="B10" s="10" t="s">
        <v>3056</v>
      </c>
      <c r="C10" s="8" t="s">
        <v>3057</v>
      </c>
      <c r="D10" s="8" t="s">
        <v>3058</v>
      </c>
      <c r="E10" s="8"/>
      <c r="F10" s="8" t="b">
        <v>0</v>
      </c>
      <c r="G10" s="8"/>
      <c r="H10" s="8" t="s">
        <v>3059</v>
      </c>
      <c r="I10" s="4"/>
      <c r="J10" s="4"/>
      <c r="K10" s="4"/>
      <c r="L10" s="4"/>
      <c r="M10" s="4"/>
      <c r="N10" s="4"/>
      <c r="O10" s="4"/>
      <c r="P10" s="4"/>
      <c r="Q10" s="4"/>
      <c r="R10" s="4"/>
      <c r="S10" s="4"/>
      <c r="T10" s="4"/>
      <c r="U10" s="4"/>
      <c r="V10" s="4"/>
      <c r="W10" s="4"/>
      <c r="X10" s="4"/>
      <c r="Y10" s="4"/>
      <c r="Z10" s="4"/>
      <c r="AA10" s="4"/>
    </row>
    <row r="11" spans="1:27" ht="62.25" customHeight="1" x14ac:dyDescent="0.15">
      <c r="A11" s="8"/>
      <c r="B11" s="8" t="s">
        <v>3060</v>
      </c>
      <c r="C11" s="8" t="s">
        <v>3061</v>
      </c>
      <c r="D11" s="8" t="s">
        <v>3062</v>
      </c>
      <c r="E11" s="8"/>
      <c r="F11" s="8" t="b">
        <v>0</v>
      </c>
      <c r="G11" s="8"/>
      <c r="H11" s="8" t="s">
        <v>3063</v>
      </c>
      <c r="I11" s="4"/>
      <c r="J11" s="4"/>
      <c r="K11" s="4"/>
      <c r="L11" s="4"/>
      <c r="M11" s="4"/>
      <c r="N11" s="4"/>
      <c r="O11" s="4"/>
      <c r="P11" s="4"/>
      <c r="Q11" s="4"/>
      <c r="R11" s="4"/>
      <c r="S11" s="4"/>
      <c r="T11" s="4"/>
      <c r="U11" s="4"/>
      <c r="V11" s="4"/>
      <c r="W11" s="4"/>
      <c r="X11" s="4"/>
      <c r="Y11" s="4"/>
      <c r="Z11" s="4"/>
      <c r="AA11" s="4"/>
    </row>
    <row r="12" spans="1:27" ht="62.25" customHeight="1" x14ac:dyDescent="0.15">
      <c r="A12" s="8"/>
      <c r="B12" s="8" t="s">
        <v>3064</v>
      </c>
      <c r="C12" s="8" t="s">
        <v>3065</v>
      </c>
      <c r="D12" s="8" t="s">
        <v>3066</v>
      </c>
      <c r="E12" s="8" t="s">
        <v>3067</v>
      </c>
      <c r="F12" s="8" t="b">
        <v>0</v>
      </c>
      <c r="G12" s="8"/>
      <c r="H12" s="8" t="s">
        <v>3068</v>
      </c>
      <c r="I12" s="4"/>
      <c r="J12" s="4"/>
      <c r="K12" s="4"/>
      <c r="L12" s="4"/>
      <c r="M12" s="4"/>
      <c r="N12" s="4"/>
      <c r="O12" s="4"/>
      <c r="P12" s="4"/>
      <c r="Q12" s="4"/>
      <c r="R12" s="4"/>
      <c r="S12" s="4"/>
      <c r="T12" s="4"/>
      <c r="U12" s="4"/>
      <c r="V12" s="4"/>
      <c r="W12" s="4"/>
      <c r="X12" s="4"/>
      <c r="Y12" s="4"/>
      <c r="Z12" s="4"/>
      <c r="AA12" s="4"/>
    </row>
    <row r="13" spans="1:27" ht="62.25" customHeight="1" x14ac:dyDescent="0.15">
      <c r="A13" s="8"/>
      <c r="B13" s="8"/>
      <c r="C13" s="8" t="s">
        <v>3069</v>
      </c>
      <c r="D13" s="8"/>
      <c r="E13" s="8"/>
      <c r="F13" s="8" t="b">
        <v>1</v>
      </c>
      <c r="G13" s="8"/>
      <c r="H13" s="8" t="s">
        <v>3070</v>
      </c>
      <c r="I13" s="4"/>
      <c r="J13" s="4"/>
      <c r="K13" s="4"/>
      <c r="L13" s="4"/>
      <c r="M13" s="4"/>
      <c r="N13" s="4"/>
      <c r="O13" s="4"/>
      <c r="P13" s="4"/>
      <c r="Q13" s="4"/>
      <c r="R13" s="4"/>
      <c r="S13" s="4"/>
      <c r="T13" s="4"/>
      <c r="U13" s="4"/>
      <c r="V13" s="4"/>
      <c r="W13" s="4"/>
      <c r="X13" s="4"/>
      <c r="Y13" s="4"/>
      <c r="Z13" s="4"/>
      <c r="AA13" s="4"/>
    </row>
    <row r="14" spans="1:27" ht="62.25" customHeight="1" x14ac:dyDescent="0.15">
      <c r="A14" s="8"/>
      <c r="B14" s="8" t="s">
        <v>3071</v>
      </c>
      <c r="C14" s="8"/>
      <c r="D14" s="8"/>
      <c r="E14" s="8"/>
      <c r="F14" s="8" t="b">
        <v>0</v>
      </c>
      <c r="G14" s="8"/>
      <c r="H14" s="8" t="s">
        <v>3072</v>
      </c>
      <c r="I14" s="4"/>
      <c r="J14" s="4"/>
      <c r="K14" s="4"/>
      <c r="L14" s="4"/>
      <c r="M14" s="4"/>
      <c r="N14" s="4"/>
      <c r="O14" s="4"/>
      <c r="P14" s="4"/>
      <c r="Q14" s="4"/>
      <c r="R14" s="4"/>
      <c r="S14" s="4"/>
      <c r="T14" s="4"/>
      <c r="U14" s="4"/>
      <c r="V14" s="4"/>
      <c r="W14" s="4"/>
      <c r="X14" s="4"/>
      <c r="Y14" s="4"/>
      <c r="Z14" s="4"/>
      <c r="AA14" s="4"/>
    </row>
    <row r="15" spans="1:27" ht="62.25" customHeight="1" x14ac:dyDescent="0.15">
      <c r="A15" s="10"/>
      <c r="B15" s="10" t="s">
        <v>3073</v>
      </c>
      <c r="C15" s="8" t="s">
        <v>3074</v>
      </c>
      <c r="D15" s="8" t="s">
        <v>3075</v>
      </c>
      <c r="E15" s="8" t="s">
        <v>3076</v>
      </c>
      <c r="F15" s="8" t="b">
        <v>1</v>
      </c>
      <c r="G15" s="8"/>
      <c r="H15" s="8" t="s">
        <v>3077</v>
      </c>
      <c r="I15" s="4"/>
      <c r="J15" s="4"/>
      <c r="K15" s="4"/>
      <c r="L15" s="4"/>
      <c r="M15" s="4"/>
      <c r="N15" s="4"/>
      <c r="O15" s="4"/>
      <c r="P15" s="4"/>
      <c r="Q15" s="4"/>
      <c r="R15" s="4"/>
      <c r="S15" s="4"/>
      <c r="T15" s="4"/>
      <c r="U15" s="4"/>
      <c r="V15" s="4"/>
      <c r="W15" s="4"/>
      <c r="X15" s="4"/>
      <c r="Y15" s="4"/>
      <c r="Z15" s="4"/>
      <c r="AA15" s="4"/>
    </row>
    <row r="16" spans="1:27" ht="62.25" customHeight="1" x14ac:dyDescent="0.15">
      <c r="A16" s="8"/>
      <c r="B16" s="8"/>
      <c r="C16" s="8" t="s">
        <v>3078</v>
      </c>
      <c r="D16" s="8"/>
      <c r="E16" s="8"/>
      <c r="F16" s="8" t="b">
        <v>0</v>
      </c>
      <c r="G16" s="8"/>
      <c r="H16" s="8" t="s">
        <v>3079</v>
      </c>
      <c r="I16" s="4"/>
      <c r="J16" s="4"/>
      <c r="K16" s="4"/>
      <c r="L16" s="4"/>
      <c r="M16" s="4"/>
      <c r="N16" s="4"/>
      <c r="O16" s="4"/>
      <c r="P16" s="4"/>
      <c r="Q16" s="4"/>
      <c r="R16" s="4"/>
      <c r="S16" s="4"/>
      <c r="T16" s="4"/>
      <c r="U16" s="4"/>
      <c r="V16" s="4"/>
      <c r="W16" s="4"/>
      <c r="X16" s="4"/>
      <c r="Y16" s="4"/>
      <c r="Z16" s="4"/>
      <c r="AA16" s="4"/>
    </row>
    <row r="17" spans="1:27" ht="62.25" customHeight="1" x14ac:dyDescent="0.15">
      <c r="A17" s="10"/>
      <c r="B17" s="10" t="s">
        <v>3080</v>
      </c>
      <c r="C17" s="8" t="s">
        <v>3081</v>
      </c>
      <c r="D17" s="8" t="s">
        <v>3082</v>
      </c>
      <c r="E17" s="8" t="s">
        <v>3083</v>
      </c>
      <c r="F17" s="8" t="b">
        <v>1</v>
      </c>
      <c r="G17" s="8"/>
      <c r="H17" s="8" t="s">
        <v>3084</v>
      </c>
      <c r="I17" s="4"/>
      <c r="J17" s="4"/>
      <c r="K17" s="4"/>
      <c r="L17" s="4"/>
      <c r="M17" s="4"/>
      <c r="N17" s="4"/>
      <c r="O17" s="4"/>
      <c r="P17" s="4"/>
      <c r="Q17" s="4"/>
      <c r="R17" s="4"/>
      <c r="S17" s="4"/>
      <c r="T17" s="4"/>
      <c r="U17" s="4"/>
      <c r="V17" s="4"/>
      <c r="W17" s="4"/>
      <c r="X17" s="4"/>
      <c r="Y17" s="4"/>
      <c r="Z17" s="4"/>
      <c r="AA17" s="4"/>
    </row>
    <row r="18" spans="1:27" ht="62.25" customHeight="1" x14ac:dyDescent="0.15">
      <c r="A18" s="8"/>
      <c r="B18" s="8" t="s">
        <v>3085</v>
      </c>
      <c r="C18" s="8"/>
      <c r="D18" s="10" t="s">
        <v>3086</v>
      </c>
      <c r="E18" s="8"/>
      <c r="F18" s="8" t="b">
        <v>1</v>
      </c>
      <c r="G18" s="8"/>
      <c r="H18" s="8" t="s">
        <v>3087</v>
      </c>
      <c r="I18" s="4"/>
      <c r="J18" s="4"/>
      <c r="K18" s="4"/>
      <c r="L18" s="4"/>
      <c r="M18" s="4"/>
      <c r="N18" s="4"/>
      <c r="O18" s="4"/>
      <c r="P18" s="4"/>
      <c r="Q18" s="4"/>
      <c r="R18" s="4"/>
      <c r="S18" s="4"/>
      <c r="T18" s="4"/>
      <c r="U18" s="4"/>
      <c r="V18" s="4"/>
      <c r="W18" s="4"/>
      <c r="X18" s="4"/>
      <c r="Y18" s="4"/>
      <c r="Z18" s="4"/>
      <c r="AA18" s="4"/>
    </row>
    <row r="19" spans="1:27" ht="62.25" customHeight="1" x14ac:dyDescent="0.15">
      <c r="A19" s="11"/>
      <c r="B19" s="12" t="s">
        <v>3088</v>
      </c>
      <c r="C19" s="10"/>
      <c r="D19" s="8"/>
      <c r="E19" s="8"/>
      <c r="F19" s="8" t="b">
        <v>0</v>
      </c>
      <c r="G19" s="10"/>
      <c r="H19" s="8" t="s">
        <v>3089</v>
      </c>
      <c r="I19" s="4"/>
      <c r="J19" s="4"/>
      <c r="K19" s="4"/>
      <c r="L19" s="4"/>
      <c r="M19" s="4"/>
      <c r="N19" s="4"/>
      <c r="O19" s="4"/>
      <c r="P19" s="4"/>
      <c r="Q19" s="4"/>
      <c r="R19" s="4"/>
      <c r="S19" s="4"/>
      <c r="T19" s="4"/>
      <c r="U19" s="4"/>
      <c r="V19" s="4"/>
      <c r="W19" s="4"/>
      <c r="X19" s="4"/>
      <c r="Y19" s="4"/>
      <c r="Z19" s="4"/>
      <c r="AA19" s="4"/>
    </row>
    <row r="20" spans="1:27" ht="62.25" customHeight="1" x14ac:dyDescent="0.15">
      <c r="A20" s="10"/>
      <c r="B20" s="10" t="s">
        <v>3090</v>
      </c>
      <c r="C20" s="8" t="s">
        <v>3091</v>
      </c>
      <c r="D20" s="8" t="s">
        <v>3092</v>
      </c>
      <c r="E20" s="8"/>
      <c r="F20" s="8" t="b">
        <v>1</v>
      </c>
      <c r="G20" s="8"/>
      <c r="H20" s="8" t="s">
        <v>3093</v>
      </c>
      <c r="I20" s="4"/>
      <c r="J20" s="4"/>
      <c r="K20" s="4"/>
      <c r="L20" s="4"/>
      <c r="M20" s="4"/>
      <c r="N20" s="4"/>
      <c r="O20" s="4"/>
      <c r="P20" s="4"/>
      <c r="Q20" s="4"/>
      <c r="R20" s="4"/>
      <c r="S20" s="4"/>
      <c r="T20" s="4"/>
      <c r="U20" s="4"/>
      <c r="V20" s="4"/>
      <c r="W20" s="4"/>
      <c r="X20" s="4"/>
      <c r="Y20" s="4"/>
      <c r="Z20" s="4"/>
      <c r="AA20" s="4"/>
    </row>
    <row r="21" spans="1:27" ht="62.25" customHeight="1" x14ac:dyDescent="0.15">
      <c r="A21" s="8"/>
      <c r="B21" s="8" t="s">
        <v>3094</v>
      </c>
      <c r="C21" s="8" t="s">
        <v>3095</v>
      </c>
      <c r="D21" s="8" t="s">
        <v>3096</v>
      </c>
      <c r="E21" s="8"/>
      <c r="F21" s="8" t="b">
        <v>0</v>
      </c>
      <c r="G21" s="8"/>
      <c r="H21" s="8" t="s">
        <v>3097</v>
      </c>
      <c r="I21" s="4"/>
      <c r="J21" s="4"/>
      <c r="K21" s="4"/>
      <c r="L21" s="4"/>
      <c r="M21" s="4"/>
      <c r="N21" s="4"/>
      <c r="O21" s="4"/>
      <c r="P21" s="4"/>
      <c r="Q21" s="4"/>
      <c r="R21" s="4"/>
      <c r="S21" s="4"/>
      <c r="T21" s="4"/>
      <c r="U21" s="4"/>
      <c r="V21" s="4"/>
      <c r="W21" s="4"/>
      <c r="X21" s="4"/>
      <c r="Y21" s="4"/>
      <c r="Z21" s="4"/>
      <c r="AA21" s="4"/>
    </row>
    <row r="22" spans="1:27" ht="62.25" customHeight="1" x14ac:dyDescent="0.15">
      <c r="A22" s="10"/>
      <c r="B22" s="10" t="s">
        <v>3098</v>
      </c>
      <c r="C22" s="8" t="s">
        <v>3099</v>
      </c>
      <c r="D22" s="8" t="s">
        <v>3100</v>
      </c>
      <c r="E22" s="8" t="s">
        <v>3101</v>
      </c>
      <c r="F22" s="8" t="b">
        <v>1</v>
      </c>
      <c r="G22" s="8"/>
      <c r="H22" s="8" t="s">
        <v>3102</v>
      </c>
      <c r="I22" s="4"/>
      <c r="J22" s="4"/>
      <c r="K22" s="4"/>
      <c r="L22" s="4"/>
      <c r="M22" s="4"/>
      <c r="N22" s="4"/>
      <c r="O22" s="4"/>
      <c r="P22" s="4"/>
      <c r="Q22" s="4"/>
      <c r="R22" s="4"/>
      <c r="S22" s="4"/>
      <c r="T22" s="4"/>
      <c r="U22" s="4"/>
      <c r="V22" s="4"/>
      <c r="W22" s="4"/>
      <c r="X22" s="4"/>
      <c r="Y22" s="4"/>
      <c r="Z22" s="4"/>
      <c r="AA22" s="4"/>
    </row>
    <row r="23" spans="1:27" ht="62.25" customHeight="1" x14ac:dyDescent="0.15">
      <c r="A23" s="10"/>
      <c r="B23" s="10" t="s">
        <v>3103</v>
      </c>
      <c r="C23" s="8" t="s">
        <v>3104</v>
      </c>
      <c r="D23" s="8"/>
      <c r="E23" s="8"/>
      <c r="F23" s="8" t="b">
        <v>0</v>
      </c>
      <c r="G23" s="8"/>
      <c r="H23" s="8" t="s">
        <v>3105</v>
      </c>
      <c r="I23" s="4"/>
      <c r="J23" s="4"/>
      <c r="K23" s="4"/>
      <c r="L23" s="4"/>
      <c r="M23" s="4"/>
      <c r="N23" s="4"/>
      <c r="O23" s="4"/>
      <c r="P23" s="4"/>
      <c r="Q23" s="4"/>
      <c r="R23" s="4"/>
      <c r="S23" s="4"/>
      <c r="T23" s="4"/>
      <c r="U23" s="4"/>
      <c r="V23" s="4"/>
      <c r="W23" s="4"/>
      <c r="X23" s="4"/>
      <c r="Y23" s="4"/>
      <c r="Z23" s="4"/>
      <c r="AA23" s="4"/>
    </row>
    <row r="24" spans="1:27" ht="62.25" customHeight="1" x14ac:dyDescent="0.15">
      <c r="A24" s="10"/>
      <c r="B24" s="10" t="s">
        <v>3106</v>
      </c>
      <c r="C24" s="10" t="s">
        <v>3107</v>
      </c>
      <c r="D24" s="10" t="s">
        <v>3108</v>
      </c>
      <c r="E24" s="8" t="s">
        <v>3109</v>
      </c>
      <c r="F24" s="8" t="b">
        <v>1</v>
      </c>
      <c r="G24" s="8"/>
      <c r="H24" s="8" t="s">
        <v>3110</v>
      </c>
      <c r="I24" s="4"/>
      <c r="J24" s="4"/>
      <c r="K24" s="4"/>
      <c r="L24" s="4"/>
      <c r="M24" s="4"/>
      <c r="N24" s="4"/>
      <c r="O24" s="4"/>
      <c r="P24" s="4"/>
      <c r="Q24" s="4"/>
      <c r="R24" s="4"/>
      <c r="S24" s="4"/>
      <c r="T24" s="4"/>
      <c r="U24" s="4"/>
      <c r="V24" s="4"/>
      <c r="W24" s="4"/>
      <c r="X24" s="4"/>
      <c r="Y24" s="4"/>
      <c r="Z24" s="4"/>
      <c r="AA24" s="4"/>
    </row>
    <row r="25" spans="1:27" ht="62.25" customHeight="1" x14ac:dyDescent="0.15">
      <c r="A25" s="10"/>
      <c r="B25" s="10" t="s">
        <v>3111</v>
      </c>
      <c r="C25" s="8"/>
      <c r="D25" s="8"/>
      <c r="E25" s="8" t="s">
        <v>3112</v>
      </c>
      <c r="F25" s="8" t="b">
        <v>0</v>
      </c>
      <c r="G25" s="10" t="s">
        <v>3113</v>
      </c>
      <c r="H25" s="8" t="s">
        <v>3114</v>
      </c>
      <c r="I25" s="4"/>
      <c r="J25" s="4"/>
      <c r="K25" s="4"/>
      <c r="L25" s="4"/>
      <c r="M25" s="4"/>
      <c r="N25" s="4"/>
      <c r="O25" s="4"/>
      <c r="P25" s="4"/>
      <c r="Q25" s="4"/>
      <c r="R25" s="4"/>
      <c r="S25" s="4"/>
      <c r="T25" s="4"/>
      <c r="U25" s="4"/>
      <c r="V25" s="4"/>
      <c r="W25" s="4"/>
      <c r="X25" s="4"/>
      <c r="Y25" s="4"/>
      <c r="Z25" s="4"/>
      <c r="AA25" s="4"/>
    </row>
    <row r="26" spans="1:27" ht="62.25" customHeight="1" x14ac:dyDescent="0.15">
      <c r="A26" s="10"/>
      <c r="B26" s="10" t="s">
        <v>3115</v>
      </c>
      <c r="C26" s="8"/>
      <c r="D26" s="8"/>
      <c r="E26" s="8"/>
      <c r="F26" s="8" t="b">
        <v>1</v>
      </c>
      <c r="G26" s="8"/>
      <c r="H26" s="8" t="s">
        <v>3116</v>
      </c>
      <c r="I26" s="4"/>
      <c r="J26" s="4"/>
      <c r="K26" s="4"/>
      <c r="L26" s="4"/>
      <c r="M26" s="4"/>
      <c r="N26" s="4"/>
      <c r="O26" s="4"/>
      <c r="P26" s="4"/>
      <c r="Q26" s="4"/>
      <c r="R26" s="4"/>
      <c r="S26" s="4"/>
      <c r="T26" s="4"/>
      <c r="U26" s="4"/>
      <c r="V26" s="4"/>
      <c r="W26" s="4"/>
      <c r="X26" s="4"/>
      <c r="Y26" s="4"/>
      <c r="Z26" s="4"/>
      <c r="AA26" s="4"/>
    </row>
    <row r="27" spans="1:27" ht="62.25" customHeight="1" x14ac:dyDescent="0.15">
      <c r="A27" s="8"/>
      <c r="B27" s="8"/>
      <c r="C27" s="8"/>
      <c r="D27" s="8"/>
      <c r="E27" s="8"/>
      <c r="F27" s="8" t="b">
        <v>1</v>
      </c>
      <c r="G27" s="10" t="s">
        <v>3117</v>
      </c>
      <c r="H27" s="8" t="s">
        <v>3118</v>
      </c>
      <c r="I27" s="4"/>
      <c r="J27" s="4"/>
      <c r="K27" s="4"/>
      <c r="L27" s="4"/>
      <c r="M27" s="4"/>
      <c r="N27" s="4"/>
      <c r="O27" s="4"/>
      <c r="P27" s="4"/>
      <c r="Q27" s="4"/>
      <c r="R27" s="4"/>
      <c r="S27" s="4"/>
      <c r="T27" s="4"/>
      <c r="U27" s="4"/>
      <c r="V27" s="4"/>
      <c r="W27" s="4"/>
      <c r="X27" s="4"/>
      <c r="Y27" s="4"/>
      <c r="Z27" s="4"/>
      <c r="AA27" s="4"/>
    </row>
    <row r="28" spans="1:27" ht="62.25" customHeight="1" x14ac:dyDescent="0.15">
      <c r="A28" s="10"/>
      <c r="B28" s="10" t="s">
        <v>3119</v>
      </c>
      <c r="C28" s="10" t="s">
        <v>3120</v>
      </c>
      <c r="D28" s="10" t="s">
        <v>3121</v>
      </c>
      <c r="E28" s="8"/>
      <c r="F28" s="8" t="b">
        <v>1</v>
      </c>
      <c r="G28" s="8"/>
      <c r="H28" s="8" t="s">
        <v>3122</v>
      </c>
      <c r="I28" s="4"/>
      <c r="J28" s="4"/>
      <c r="K28" s="4"/>
      <c r="L28" s="4"/>
      <c r="M28" s="4"/>
      <c r="N28" s="4"/>
      <c r="O28" s="4"/>
      <c r="P28" s="4"/>
      <c r="Q28" s="4"/>
      <c r="R28" s="4"/>
      <c r="S28" s="4"/>
      <c r="T28" s="4"/>
      <c r="U28" s="4"/>
      <c r="V28" s="4"/>
      <c r="W28" s="4"/>
      <c r="X28" s="4"/>
      <c r="Y28" s="4"/>
      <c r="Z28" s="4"/>
      <c r="AA28" s="4"/>
    </row>
    <row r="29" spans="1:27" ht="62.25" customHeight="1" x14ac:dyDescent="0.15">
      <c r="A29" s="10"/>
      <c r="B29" s="10" t="s">
        <v>3123</v>
      </c>
      <c r="C29" s="8"/>
      <c r="D29" s="10" t="s">
        <v>3124</v>
      </c>
      <c r="E29" s="8"/>
      <c r="F29" s="8" t="b">
        <v>1</v>
      </c>
      <c r="G29" s="10" t="s">
        <v>3125</v>
      </c>
      <c r="H29" s="8" t="s">
        <v>3126</v>
      </c>
      <c r="I29" s="4"/>
      <c r="J29" s="4"/>
      <c r="K29" s="4"/>
      <c r="L29" s="4"/>
      <c r="M29" s="4"/>
      <c r="N29" s="4"/>
      <c r="O29" s="4"/>
      <c r="P29" s="4"/>
      <c r="Q29" s="4"/>
      <c r="R29" s="4"/>
      <c r="S29" s="4"/>
      <c r="T29" s="4"/>
      <c r="U29" s="4"/>
      <c r="V29" s="4"/>
      <c r="W29" s="4"/>
      <c r="X29" s="4"/>
      <c r="Y29" s="4"/>
      <c r="Z29" s="4"/>
      <c r="AA29" s="4"/>
    </row>
    <row r="30" spans="1:27" ht="62.25" customHeight="1" x14ac:dyDescent="0.15">
      <c r="A30" s="10"/>
      <c r="B30" s="10" t="s">
        <v>3127</v>
      </c>
      <c r="C30" s="10" t="s">
        <v>3128</v>
      </c>
      <c r="D30" s="10" t="s">
        <v>3129</v>
      </c>
      <c r="E30" s="8"/>
      <c r="F30" s="8" t="b">
        <v>1</v>
      </c>
      <c r="G30" s="8"/>
      <c r="H30" s="8" t="s">
        <v>3130</v>
      </c>
      <c r="I30" s="4"/>
      <c r="J30" s="4"/>
      <c r="K30" s="4"/>
      <c r="L30" s="4"/>
      <c r="M30" s="4"/>
      <c r="N30" s="4"/>
      <c r="O30" s="4"/>
      <c r="P30" s="4"/>
      <c r="Q30" s="4"/>
      <c r="R30" s="4"/>
      <c r="S30" s="4"/>
      <c r="T30" s="4"/>
      <c r="U30" s="4"/>
      <c r="V30" s="4"/>
      <c r="W30" s="4"/>
      <c r="X30" s="4"/>
      <c r="Y30" s="4"/>
      <c r="Z30" s="4"/>
      <c r="AA30" s="4"/>
    </row>
    <row r="31" spans="1:27" ht="62.25" customHeight="1" x14ac:dyDescent="0.15">
      <c r="A31" s="10"/>
      <c r="B31" s="10" t="s">
        <v>3131</v>
      </c>
      <c r="C31" s="10" t="s">
        <v>3132</v>
      </c>
      <c r="D31" s="10" t="s">
        <v>3133</v>
      </c>
      <c r="E31" s="8"/>
      <c r="F31" s="8" t="b">
        <v>1</v>
      </c>
      <c r="G31" s="8"/>
      <c r="H31" s="8" t="s">
        <v>3134</v>
      </c>
      <c r="I31" s="4"/>
      <c r="J31" s="4"/>
      <c r="K31" s="4"/>
      <c r="L31" s="4"/>
      <c r="M31" s="4"/>
      <c r="N31" s="4"/>
      <c r="O31" s="4"/>
      <c r="P31" s="4"/>
      <c r="Q31" s="4"/>
      <c r="R31" s="4"/>
      <c r="S31" s="4"/>
      <c r="T31" s="4"/>
      <c r="U31" s="4"/>
      <c r="V31" s="4"/>
      <c r="W31" s="4"/>
      <c r="X31" s="4"/>
      <c r="Y31" s="4"/>
      <c r="Z31" s="4"/>
      <c r="AA31" s="4"/>
    </row>
    <row r="32" spans="1:27" ht="62.25" customHeight="1" x14ac:dyDescent="0.15">
      <c r="A32" s="10"/>
      <c r="B32" s="10" t="s">
        <v>3135</v>
      </c>
      <c r="C32" s="10" t="s">
        <v>3136</v>
      </c>
      <c r="D32" s="10" t="s">
        <v>3137</v>
      </c>
      <c r="E32" s="8"/>
      <c r="F32" s="8" t="b">
        <v>0</v>
      </c>
      <c r="G32" s="10" t="s">
        <v>3138</v>
      </c>
      <c r="H32" s="8" t="s">
        <v>3139</v>
      </c>
      <c r="I32" s="4"/>
      <c r="J32" s="4"/>
      <c r="K32" s="4"/>
      <c r="L32" s="4"/>
      <c r="M32" s="4"/>
      <c r="N32" s="4"/>
      <c r="O32" s="4"/>
      <c r="P32" s="4"/>
      <c r="Q32" s="4"/>
      <c r="R32" s="4"/>
      <c r="S32" s="4"/>
      <c r="T32" s="4"/>
      <c r="U32" s="4"/>
      <c r="V32" s="4"/>
      <c r="W32" s="4"/>
      <c r="X32" s="4"/>
      <c r="Y32" s="4"/>
      <c r="Z32" s="4"/>
      <c r="AA32" s="4"/>
    </row>
    <row r="33" spans="1:27" ht="62.25" customHeight="1" x14ac:dyDescent="0.15">
      <c r="A33" s="10"/>
      <c r="B33" s="10" t="s">
        <v>3140</v>
      </c>
      <c r="C33" s="8"/>
      <c r="D33" s="8"/>
      <c r="E33" s="8"/>
      <c r="F33" s="8" t="b">
        <v>0</v>
      </c>
      <c r="G33" s="8" t="s">
        <v>3141</v>
      </c>
      <c r="H33" s="8" t="s">
        <v>3142</v>
      </c>
      <c r="I33" s="4"/>
      <c r="J33" s="4"/>
      <c r="K33" s="4"/>
      <c r="L33" s="4"/>
      <c r="M33" s="4"/>
      <c r="N33" s="4"/>
      <c r="O33" s="4"/>
      <c r="P33" s="4"/>
      <c r="Q33" s="4"/>
      <c r="R33" s="4"/>
      <c r="S33" s="4"/>
      <c r="T33" s="4"/>
      <c r="U33" s="4"/>
      <c r="V33" s="4"/>
      <c r="W33" s="4"/>
      <c r="X33" s="4"/>
      <c r="Y33" s="4"/>
      <c r="Z33" s="4"/>
      <c r="AA33" s="4"/>
    </row>
    <row r="34" spans="1:27" ht="62.25" customHeight="1" x14ac:dyDescent="0.15">
      <c r="A34" s="10"/>
      <c r="B34" s="10" t="s">
        <v>3143</v>
      </c>
      <c r="C34" s="10" t="s">
        <v>3144</v>
      </c>
      <c r="D34" s="10" t="s">
        <v>3145</v>
      </c>
      <c r="E34" s="8"/>
      <c r="F34" s="8" t="b">
        <v>0</v>
      </c>
      <c r="G34" s="8"/>
      <c r="H34" s="8" t="s">
        <v>3146</v>
      </c>
      <c r="I34" s="4"/>
      <c r="J34" s="4"/>
      <c r="K34" s="4"/>
      <c r="L34" s="4"/>
      <c r="M34" s="4"/>
      <c r="N34" s="4"/>
      <c r="O34" s="4"/>
      <c r="P34" s="4"/>
      <c r="Q34" s="4"/>
      <c r="R34" s="4"/>
      <c r="S34" s="4"/>
      <c r="T34" s="4"/>
      <c r="U34" s="4"/>
      <c r="V34" s="4"/>
      <c r="W34" s="4"/>
      <c r="X34" s="4"/>
      <c r="Y34" s="4"/>
      <c r="Z34" s="4"/>
      <c r="AA34" s="4"/>
    </row>
    <row r="35" spans="1:27" ht="62.25" customHeight="1" x14ac:dyDescent="0.15">
      <c r="A35" s="10"/>
      <c r="B35" s="10" t="s">
        <v>3147</v>
      </c>
      <c r="C35" s="8" t="s">
        <v>3148</v>
      </c>
      <c r="D35" s="8"/>
      <c r="E35" s="8"/>
      <c r="F35" s="8" t="b">
        <v>0</v>
      </c>
      <c r="G35" s="8" t="s">
        <v>3149</v>
      </c>
      <c r="H35" s="8" t="s">
        <v>3150</v>
      </c>
      <c r="I35" s="4"/>
      <c r="J35" s="4"/>
      <c r="K35" s="4"/>
      <c r="L35" s="4"/>
      <c r="M35" s="4"/>
      <c r="N35" s="4"/>
      <c r="O35" s="4"/>
      <c r="P35" s="4"/>
      <c r="Q35" s="4"/>
      <c r="R35" s="4"/>
      <c r="S35" s="4"/>
      <c r="T35" s="4"/>
      <c r="U35" s="4"/>
      <c r="V35" s="4"/>
      <c r="W35" s="4"/>
      <c r="X35" s="4"/>
      <c r="Y35" s="4"/>
      <c r="Z35" s="4"/>
      <c r="AA35" s="4"/>
    </row>
    <row r="36" spans="1:27" ht="62.25" customHeight="1" x14ac:dyDescent="0.15">
      <c r="A36" s="10"/>
      <c r="B36" s="10" t="s">
        <v>3151</v>
      </c>
      <c r="C36" s="10" t="s">
        <v>3152</v>
      </c>
      <c r="D36" s="8"/>
      <c r="E36" s="8"/>
      <c r="F36" s="8" t="b">
        <v>1</v>
      </c>
      <c r="G36" s="8"/>
      <c r="H36" s="8" t="s">
        <v>3153</v>
      </c>
      <c r="I36" s="4"/>
      <c r="J36" s="4"/>
      <c r="K36" s="4"/>
      <c r="L36" s="4"/>
      <c r="M36" s="4"/>
      <c r="N36" s="4"/>
      <c r="O36" s="4"/>
      <c r="P36" s="4"/>
      <c r="Q36" s="4"/>
      <c r="R36" s="4"/>
      <c r="S36" s="4"/>
      <c r="T36" s="4"/>
      <c r="U36" s="4"/>
      <c r="V36" s="4"/>
      <c r="W36" s="4"/>
      <c r="X36" s="4"/>
      <c r="Y36" s="4"/>
      <c r="Z36" s="4"/>
      <c r="AA36" s="4"/>
    </row>
    <row r="37" spans="1:27" ht="62.25" customHeight="1" x14ac:dyDescent="0.15">
      <c r="A37" s="10"/>
      <c r="B37" s="10" t="s">
        <v>3154</v>
      </c>
      <c r="C37" s="10" t="s">
        <v>3155</v>
      </c>
      <c r="D37" s="10" t="s">
        <v>3156</v>
      </c>
      <c r="E37" s="8"/>
      <c r="F37" s="8" t="b">
        <v>1</v>
      </c>
      <c r="G37" s="8"/>
      <c r="H37" s="8" t="s">
        <v>3157</v>
      </c>
      <c r="I37" s="4"/>
      <c r="J37" s="4"/>
      <c r="K37" s="4"/>
      <c r="L37" s="4"/>
      <c r="M37" s="4"/>
      <c r="N37" s="4"/>
      <c r="O37" s="4"/>
      <c r="P37" s="4"/>
      <c r="Q37" s="4"/>
      <c r="R37" s="4"/>
      <c r="S37" s="4"/>
      <c r="T37" s="4"/>
      <c r="U37" s="4"/>
      <c r="V37" s="4"/>
      <c r="W37" s="4"/>
      <c r="X37" s="4"/>
      <c r="Y37" s="4"/>
      <c r="Z37" s="4"/>
      <c r="AA37" s="4"/>
    </row>
    <row r="38" spans="1:27" ht="62.25" customHeight="1" x14ac:dyDescent="0.15">
      <c r="A38" s="8"/>
      <c r="B38" s="8"/>
      <c r="C38" s="8"/>
      <c r="D38" s="8"/>
      <c r="E38" s="8"/>
      <c r="F38" s="8" t="b">
        <v>1</v>
      </c>
      <c r="G38" s="8" t="s">
        <v>3158</v>
      </c>
      <c r="H38" s="8" t="s">
        <v>3159</v>
      </c>
      <c r="I38" s="4"/>
      <c r="J38" s="4"/>
      <c r="K38" s="4"/>
      <c r="L38" s="4"/>
      <c r="M38" s="4"/>
      <c r="N38" s="4"/>
      <c r="O38" s="4"/>
      <c r="P38" s="4"/>
      <c r="Q38" s="4"/>
      <c r="R38" s="4"/>
      <c r="S38" s="4"/>
      <c r="T38" s="4"/>
      <c r="U38" s="4"/>
      <c r="V38" s="4"/>
      <c r="W38" s="4"/>
      <c r="X38" s="4"/>
      <c r="Y38" s="4"/>
      <c r="Z38" s="4"/>
      <c r="AA38" s="4"/>
    </row>
    <row r="39" spans="1:27" ht="62.25" customHeight="1" x14ac:dyDescent="0.15">
      <c r="A39" s="10"/>
      <c r="B39" s="10" t="s">
        <v>3160</v>
      </c>
      <c r="C39" s="10" t="s">
        <v>3161</v>
      </c>
      <c r="D39" s="10" t="s">
        <v>3162</v>
      </c>
      <c r="E39" s="8" t="s">
        <v>3163</v>
      </c>
      <c r="F39" s="8" t="b">
        <v>1</v>
      </c>
      <c r="G39" s="8"/>
      <c r="H39" s="8" t="s">
        <v>3164</v>
      </c>
      <c r="I39" s="4"/>
      <c r="J39" s="4"/>
      <c r="K39" s="4"/>
      <c r="L39" s="4"/>
      <c r="M39" s="4"/>
      <c r="N39" s="4"/>
      <c r="O39" s="4"/>
      <c r="P39" s="4"/>
      <c r="Q39" s="4"/>
      <c r="R39" s="4"/>
      <c r="S39" s="4"/>
      <c r="T39" s="4"/>
      <c r="U39" s="4"/>
      <c r="V39" s="4"/>
      <c r="W39" s="4"/>
      <c r="X39" s="4"/>
      <c r="Y39" s="4"/>
      <c r="Z39" s="4"/>
      <c r="AA39" s="4"/>
    </row>
    <row r="40" spans="1:27" ht="62.25" customHeight="1" x14ac:dyDescent="0.15">
      <c r="A40" s="8"/>
      <c r="B40" s="8"/>
      <c r="C40" s="8"/>
      <c r="D40" s="8"/>
      <c r="E40" s="8"/>
      <c r="F40" s="8"/>
      <c r="G40" s="10" t="s">
        <v>3165</v>
      </c>
      <c r="H40" s="8" t="s">
        <v>3166</v>
      </c>
      <c r="I40" s="4"/>
      <c r="J40" s="4"/>
      <c r="K40" s="4"/>
      <c r="L40" s="4"/>
      <c r="M40" s="4"/>
      <c r="N40" s="4"/>
      <c r="O40" s="4"/>
      <c r="P40" s="4"/>
      <c r="Q40" s="4"/>
      <c r="R40" s="4"/>
      <c r="S40" s="4"/>
      <c r="T40" s="4"/>
      <c r="U40" s="4"/>
      <c r="V40" s="4"/>
      <c r="W40" s="4"/>
      <c r="X40" s="4"/>
      <c r="Y40" s="4"/>
      <c r="Z40" s="4"/>
      <c r="AA40" s="4"/>
    </row>
    <row r="41" spans="1:27" ht="62.25" customHeight="1" x14ac:dyDescent="0.15">
      <c r="A41" s="8"/>
      <c r="B41" s="8" t="s">
        <v>3167</v>
      </c>
      <c r="C41" s="8" t="s">
        <v>3168</v>
      </c>
      <c r="D41" s="8" t="s">
        <v>3169</v>
      </c>
      <c r="E41" s="8"/>
      <c r="F41" s="8"/>
      <c r="G41" s="8"/>
      <c r="H41" s="8" t="s">
        <v>3170</v>
      </c>
      <c r="I41" s="4"/>
      <c r="J41" s="4"/>
      <c r="K41" s="4"/>
      <c r="L41" s="4"/>
      <c r="M41" s="4"/>
      <c r="N41" s="4"/>
      <c r="O41" s="4"/>
      <c r="P41" s="4"/>
      <c r="Q41" s="4"/>
      <c r="R41" s="4"/>
      <c r="S41" s="4"/>
      <c r="T41" s="4"/>
      <c r="U41" s="4"/>
      <c r="V41" s="4"/>
      <c r="W41" s="4"/>
      <c r="X41" s="4"/>
      <c r="Y41" s="4"/>
      <c r="Z41" s="4"/>
      <c r="AA41" s="4"/>
    </row>
    <row r="42" spans="1:27" ht="62.25" customHeight="1" x14ac:dyDescent="0.15">
      <c r="A42" s="13"/>
      <c r="B42" s="9" t="s">
        <v>3171</v>
      </c>
      <c r="C42" s="10" t="s">
        <v>3172</v>
      </c>
      <c r="D42" s="10" t="s">
        <v>3173</v>
      </c>
      <c r="E42" s="8"/>
      <c r="F42" s="8"/>
      <c r="G42" s="8"/>
      <c r="H42" s="8" t="s">
        <v>3174</v>
      </c>
      <c r="I42" s="4"/>
      <c r="J42" s="4"/>
      <c r="K42" s="4"/>
      <c r="L42" s="4"/>
      <c r="M42" s="4"/>
      <c r="N42" s="4"/>
      <c r="O42" s="4"/>
      <c r="P42" s="4"/>
      <c r="Q42" s="4"/>
      <c r="R42" s="4"/>
      <c r="S42" s="4"/>
      <c r="T42" s="4"/>
      <c r="U42" s="4"/>
      <c r="V42" s="4"/>
      <c r="W42" s="4"/>
      <c r="X42" s="4"/>
      <c r="Y42" s="4"/>
      <c r="Z42" s="4"/>
      <c r="AA42" s="4"/>
    </row>
    <row r="43" spans="1:27" ht="62.25" customHeight="1" x14ac:dyDescent="0.15">
      <c r="A43" s="10"/>
      <c r="B43" s="14" t="s">
        <v>3175</v>
      </c>
      <c r="C43" s="14" t="s">
        <v>3176</v>
      </c>
      <c r="D43" s="14" t="s">
        <v>3177</v>
      </c>
      <c r="E43" s="14" t="s">
        <v>3178</v>
      </c>
      <c r="F43" s="14" t="s">
        <v>3179</v>
      </c>
      <c r="G43" s="14"/>
      <c r="H43" s="14" t="s">
        <v>3180</v>
      </c>
      <c r="I43" s="4"/>
      <c r="J43" s="4"/>
      <c r="K43" s="4"/>
      <c r="L43" s="4"/>
      <c r="M43" s="4"/>
      <c r="N43" s="4"/>
      <c r="O43" s="4"/>
      <c r="P43" s="4"/>
      <c r="Q43" s="4"/>
      <c r="R43" s="4"/>
      <c r="S43" s="4"/>
      <c r="T43" s="4"/>
      <c r="U43" s="4"/>
      <c r="V43" s="4"/>
      <c r="W43" s="4"/>
      <c r="X43" s="4"/>
      <c r="Y43" s="4"/>
      <c r="Z43" s="4"/>
      <c r="AA43" s="4"/>
    </row>
    <row r="44" spans="1:27" ht="62.25" customHeight="1" x14ac:dyDescent="0.15">
      <c r="A44" s="10"/>
      <c r="B44" s="14" t="s">
        <v>3181</v>
      </c>
      <c r="C44" s="14" t="s">
        <v>3182</v>
      </c>
      <c r="D44" s="15" t="s">
        <v>3183</v>
      </c>
      <c r="E44" s="14"/>
      <c r="F44" s="14" t="s">
        <v>3184</v>
      </c>
      <c r="G44" s="14"/>
      <c r="H44" s="14" t="s">
        <v>3185</v>
      </c>
      <c r="I44" s="4"/>
      <c r="J44" s="4"/>
      <c r="K44" s="4"/>
      <c r="L44" s="4"/>
      <c r="M44" s="4"/>
      <c r="N44" s="4"/>
      <c r="O44" s="4"/>
      <c r="P44" s="4"/>
      <c r="Q44" s="4"/>
      <c r="R44" s="4"/>
      <c r="S44" s="4"/>
      <c r="T44" s="4"/>
      <c r="U44" s="4"/>
      <c r="V44" s="4"/>
      <c r="W44" s="4"/>
      <c r="X44" s="4"/>
      <c r="Y44" s="4"/>
      <c r="Z44" s="4"/>
      <c r="AA44" s="4"/>
    </row>
    <row r="45" spans="1:27" ht="62.25" customHeight="1" x14ac:dyDescent="0.15">
      <c r="A45" s="10"/>
      <c r="B45" s="14" t="s">
        <v>3186</v>
      </c>
      <c r="C45" s="14" t="s">
        <v>3187</v>
      </c>
      <c r="D45" s="14" t="s">
        <v>3188</v>
      </c>
      <c r="E45" s="14" t="s">
        <v>3189</v>
      </c>
      <c r="F45" s="14" t="s">
        <v>3184</v>
      </c>
      <c r="G45" s="14"/>
      <c r="H45" s="14" t="s">
        <v>3190</v>
      </c>
      <c r="I45" s="4"/>
      <c r="J45" s="4"/>
      <c r="K45" s="4"/>
      <c r="L45" s="4"/>
      <c r="M45" s="4"/>
      <c r="N45" s="4"/>
      <c r="O45" s="4"/>
      <c r="P45" s="4"/>
      <c r="Q45" s="4"/>
      <c r="R45" s="4"/>
      <c r="S45" s="4"/>
      <c r="T45" s="4"/>
      <c r="U45" s="4"/>
      <c r="V45" s="4"/>
      <c r="W45" s="4"/>
      <c r="X45" s="4"/>
      <c r="Y45" s="4"/>
      <c r="Z45" s="4"/>
      <c r="AA45" s="4"/>
    </row>
    <row r="46" spans="1:27" ht="62.25" customHeight="1" x14ac:dyDescent="0.15">
      <c r="A46" s="10"/>
      <c r="B46" s="14" t="s">
        <v>3191</v>
      </c>
      <c r="C46" s="14" t="s">
        <v>3192</v>
      </c>
      <c r="D46" s="16" t="s">
        <v>3193</v>
      </c>
      <c r="E46" s="14"/>
      <c r="F46" s="14" t="s">
        <v>3179</v>
      </c>
      <c r="G46" s="14"/>
      <c r="H46" s="14" t="s">
        <v>3194</v>
      </c>
      <c r="I46" s="4"/>
      <c r="J46" s="4"/>
      <c r="K46" s="4"/>
      <c r="L46" s="4"/>
      <c r="M46" s="4"/>
      <c r="N46" s="4"/>
      <c r="O46" s="4"/>
      <c r="P46" s="4"/>
      <c r="Q46" s="4"/>
      <c r="R46" s="4"/>
      <c r="S46" s="4"/>
      <c r="T46" s="4"/>
      <c r="U46" s="4"/>
      <c r="V46" s="4"/>
      <c r="W46" s="4"/>
      <c r="X46" s="4"/>
      <c r="Y46" s="4"/>
      <c r="Z46" s="4"/>
      <c r="AA46" s="4"/>
    </row>
    <row r="47" spans="1:27" ht="62.25" customHeight="1" x14ac:dyDescent="0.15">
      <c r="A47" s="10"/>
      <c r="B47" s="14"/>
      <c r="C47" s="14"/>
      <c r="D47" s="14"/>
      <c r="E47" s="17" t="s">
        <v>3195</v>
      </c>
      <c r="F47" s="14"/>
      <c r="G47" s="15" t="s">
        <v>3196</v>
      </c>
      <c r="H47" s="14" t="s">
        <v>3197</v>
      </c>
      <c r="I47" s="4"/>
      <c r="J47" s="4"/>
      <c r="K47" s="4"/>
      <c r="L47" s="4"/>
      <c r="M47" s="4"/>
      <c r="N47" s="4"/>
      <c r="O47" s="4"/>
      <c r="P47" s="4"/>
      <c r="Q47" s="4"/>
      <c r="R47" s="4"/>
      <c r="S47" s="4"/>
      <c r="T47" s="4"/>
      <c r="U47" s="4"/>
      <c r="V47" s="4"/>
      <c r="W47" s="4"/>
      <c r="X47" s="4"/>
      <c r="Y47" s="4"/>
      <c r="Z47" s="4"/>
      <c r="AA47" s="4"/>
    </row>
    <row r="48" spans="1:27" ht="62.25" customHeight="1" x14ac:dyDescent="0.15">
      <c r="A48" s="10"/>
      <c r="B48" s="14"/>
      <c r="C48" s="14"/>
      <c r="D48" s="14"/>
      <c r="E48" s="14"/>
      <c r="F48" s="14"/>
      <c r="G48" s="17" t="s">
        <v>3198</v>
      </c>
      <c r="H48" s="14" t="s">
        <v>3199</v>
      </c>
      <c r="I48" s="4"/>
      <c r="J48" s="4"/>
      <c r="K48" s="4"/>
      <c r="L48" s="4"/>
      <c r="M48" s="4"/>
      <c r="N48" s="4"/>
      <c r="O48" s="4"/>
      <c r="P48" s="4"/>
      <c r="Q48" s="4"/>
      <c r="R48" s="4"/>
      <c r="S48" s="4"/>
      <c r="T48" s="4"/>
      <c r="U48" s="4"/>
      <c r="V48" s="4"/>
      <c r="W48" s="4"/>
      <c r="X48" s="4"/>
      <c r="Y48" s="4"/>
      <c r="Z48" s="4"/>
      <c r="AA48" s="4"/>
    </row>
    <row r="49" spans="1:27" ht="62.25" customHeight="1" x14ac:dyDescent="0.15">
      <c r="A49" s="10"/>
      <c r="B49" s="14" t="s">
        <v>3200</v>
      </c>
      <c r="C49" s="14" t="s">
        <v>3201</v>
      </c>
      <c r="D49" s="14" t="s">
        <v>3202</v>
      </c>
      <c r="E49" s="14" t="s">
        <v>3203</v>
      </c>
      <c r="F49" s="14" t="s">
        <v>3179</v>
      </c>
      <c r="G49" s="14"/>
      <c r="H49" s="14" t="s">
        <v>3204</v>
      </c>
      <c r="I49" s="4"/>
      <c r="J49" s="4"/>
      <c r="K49" s="4"/>
      <c r="L49" s="4"/>
      <c r="M49" s="4"/>
      <c r="N49" s="4"/>
      <c r="O49" s="4"/>
      <c r="P49" s="4"/>
      <c r="Q49" s="4"/>
      <c r="R49" s="4"/>
      <c r="S49" s="4"/>
      <c r="T49" s="4"/>
      <c r="U49" s="4"/>
      <c r="V49" s="4"/>
      <c r="W49" s="4"/>
      <c r="X49" s="4"/>
      <c r="Y49" s="4"/>
      <c r="Z49" s="4"/>
      <c r="AA49" s="4"/>
    </row>
    <row r="50" spans="1:27" ht="62.25" customHeight="1" x14ac:dyDescent="0.15">
      <c r="A50" s="10"/>
      <c r="B50" s="14"/>
      <c r="C50" s="14"/>
      <c r="D50" s="14"/>
      <c r="E50" s="14"/>
      <c r="F50" s="14"/>
      <c r="G50" s="15" t="s">
        <v>3205</v>
      </c>
      <c r="H50" s="14" t="s">
        <v>3206</v>
      </c>
      <c r="I50" s="4"/>
      <c r="J50" s="4"/>
      <c r="K50" s="4"/>
      <c r="L50" s="4"/>
      <c r="M50" s="4"/>
      <c r="N50" s="4"/>
      <c r="O50" s="4"/>
      <c r="P50" s="4"/>
      <c r="Q50" s="4"/>
      <c r="R50" s="4"/>
      <c r="S50" s="4"/>
      <c r="T50" s="4"/>
      <c r="U50" s="4"/>
      <c r="V50" s="4"/>
      <c r="W50" s="4"/>
      <c r="X50" s="4"/>
      <c r="Y50" s="4"/>
      <c r="Z50" s="4"/>
      <c r="AA50" s="4"/>
    </row>
    <row r="51" spans="1:27" ht="62.25" customHeight="1" x14ac:dyDescent="0.15">
      <c r="A51" s="10"/>
      <c r="B51" s="14"/>
      <c r="C51" s="14"/>
      <c r="D51" s="14"/>
      <c r="E51" s="14"/>
      <c r="F51" s="14"/>
      <c r="G51" s="17" t="s">
        <v>3207</v>
      </c>
      <c r="H51" s="14" t="s">
        <v>3208</v>
      </c>
      <c r="I51" s="4"/>
      <c r="J51" s="4"/>
      <c r="K51" s="4"/>
      <c r="L51" s="4"/>
      <c r="M51" s="4"/>
      <c r="N51" s="4"/>
      <c r="O51" s="4"/>
      <c r="P51" s="4"/>
      <c r="Q51" s="4"/>
      <c r="R51" s="4"/>
      <c r="S51" s="4"/>
      <c r="T51" s="4"/>
      <c r="U51" s="4"/>
      <c r="V51" s="4"/>
      <c r="W51" s="4"/>
      <c r="X51" s="4"/>
      <c r="Y51" s="4"/>
      <c r="Z51" s="4"/>
      <c r="AA51" s="4"/>
    </row>
    <row r="52" spans="1:27" ht="62.25" customHeight="1" x14ac:dyDescent="0.15">
      <c r="A52" s="10"/>
      <c r="B52" s="14" t="s">
        <v>3209</v>
      </c>
      <c r="C52" s="14" t="s">
        <v>3210</v>
      </c>
      <c r="D52" s="15" t="s">
        <v>3211</v>
      </c>
      <c r="E52" s="14"/>
      <c r="F52" s="14"/>
      <c r="G52" s="14"/>
      <c r="H52" s="14" t="s">
        <v>3212</v>
      </c>
      <c r="I52" s="4"/>
      <c r="J52" s="4"/>
      <c r="K52" s="4"/>
      <c r="L52" s="4"/>
      <c r="M52" s="4"/>
      <c r="N52" s="4"/>
      <c r="O52" s="4"/>
      <c r="P52" s="4"/>
      <c r="Q52" s="4"/>
      <c r="R52" s="4"/>
      <c r="S52" s="4"/>
      <c r="T52" s="4"/>
      <c r="U52" s="4"/>
      <c r="V52" s="4"/>
      <c r="W52" s="4"/>
      <c r="X52" s="4"/>
      <c r="Y52" s="4"/>
      <c r="Z52" s="4"/>
      <c r="AA52" s="4"/>
    </row>
    <row r="53" spans="1:27" ht="62.25" customHeight="1" x14ac:dyDescent="0.15">
      <c r="A53" s="10"/>
      <c r="B53" s="14" t="s">
        <v>3213</v>
      </c>
      <c r="C53" s="14" t="s">
        <v>3214</v>
      </c>
      <c r="D53" s="14" t="s">
        <v>3215</v>
      </c>
      <c r="E53" s="14" t="s">
        <v>3216</v>
      </c>
      <c r="F53" s="14" t="s">
        <v>3179</v>
      </c>
      <c r="G53" s="14"/>
      <c r="H53" s="14" t="s">
        <v>3217</v>
      </c>
      <c r="I53" s="4"/>
      <c r="J53" s="4"/>
      <c r="K53" s="4"/>
      <c r="L53" s="4"/>
      <c r="M53" s="4"/>
      <c r="N53" s="4"/>
      <c r="O53" s="4"/>
      <c r="P53" s="4"/>
      <c r="Q53" s="4"/>
      <c r="R53" s="4"/>
      <c r="S53" s="4"/>
      <c r="T53" s="4"/>
      <c r="U53" s="4"/>
      <c r="V53" s="4"/>
      <c r="W53" s="4"/>
      <c r="X53" s="4"/>
      <c r="Y53" s="4"/>
      <c r="Z53" s="4"/>
      <c r="AA53" s="4"/>
    </row>
    <row r="54" spans="1:27" ht="62.25" customHeight="1" x14ac:dyDescent="0.15">
      <c r="A54" s="10"/>
      <c r="B54" s="14"/>
      <c r="C54" s="14"/>
      <c r="D54" s="14"/>
      <c r="E54" s="14" t="s">
        <v>3218</v>
      </c>
      <c r="F54" s="14" t="s">
        <v>3184</v>
      </c>
      <c r="G54" s="17" t="s">
        <v>3219</v>
      </c>
      <c r="H54" s="14" t="s">
        <v>3220</v>
      </c>
      <c r="I54" s="4"/>
      <c r="J54" s="4"/>
      <c r="K54" s="4"/>
      <c r="L54" s="4"/>
      <c r="M54" s="4"/>
      <c r="N54" s="4"/>
      <c r="O54" s="4"/>
      <c r="P54" s="4"/>
      <c r="Q54" s="4"/>
      <c r="R54" s="4"/>
      <c r="S54" s="4"/>
      <c r="T54" s="4"/>
      <c r="U54" s="4"/>
      <c r="V54" s="4"/>
      <c r="W54" s="4"/>
      <c r="X54" s="4"/>
      <c r="Y54" s="4"/>
      <c r="Z54" s="4"/>
      <c r="AA54" s="4"/>
    </row>
    <row r="55" spans="1:27" ht="62.25" customHeight="1" x14ac:dyDescent="0.15">
      <c r="A55" s="18"/>
      <c r="B55" s="15" t="s">
        <v>3221</v>
      </c>
      <c r="C55" s="14"/>
      <c r="D55" s="14"/>
      <c r="E55" s="14"/>
      <c r="F55" s="14" t="s">
        <v>3179</v>
      </c>
      <c r="G55" s="14"/>
      <c r="H55" s="14" t="s">
        <v>3222</v>
      </c>
      <c r="I55" s="4"/>
      <c r="J55" s="4"/>
      <c r="K55" s="4"/>
      <c r="L55" s="4"/>
      <c r="M55" s="4"/>
      <c r="N55" s="4"/>
      <c r="O55" s="4"/>
      <c r="P55" s="4"/>
      <c r="Q55" s="4"/>
      <c r="R55" s="4"/>
      <c r="S55" s="4"/>
      <c r="T55" s="4"/>
      <c r="U55" s="4"/>
      <c r="V55" s="4"/>
      <c r="W55" s="4"/>
      <c r="X55" s="4"/>
      <c r="Y55" s="4"/>
      <c r="Z55" s="4"/>
      <c r="AA55" s="4"/>
    </row>
    <row r="56" spans="1:27" ht="62.25" customHeight="1" x14ac:dyDescent="0.15">
      <c r="A56" s="10"/>
      <c r="B56" s="14"/>
      <c r="C56" s="14"/>
      <c r="D56" s="14"/>
      <c r="E56" s="15" t="s">
        <v>3223</v>
      </c>
      <c r="F56" s="14"/>
      <c r="G56" s="15" t="s">
        <v>3224</v>
      </c>
      <c r="H56" s="14" t="s">
        <v>3225</v>
      </c>
      <c r="I56" s="4"/>
      <c r="J56" s="4"/>
      <c r="K56" s="4"/>
      <c r="L56" s="4"/>
      <c r="M56" s="4"/>
      <c r="N56" s="4"/>
      <c r="O56" s="4"/>
      <c r="P56" s="4"/>
      <c r="Q56" s="4"/>
      <c r="R56" s="4"/>
      <c r="S56" s="4"/>
      <c r="T56" s="4"/>
      <c r="U56" s="4"/>
      <c r="V56" s="4"/>
      <c r="W56" s="4"/>
      <c r="X56" s="4"/>
      <c r="Y56" s="4"/>
      <c r="Z56" s="4"/>
      <c r="AA56" s="4"/>
    </row>
    <row r="57" spans="1:27" ht="62.25" customHeight="1" x14ac:dyDescent="0.15">
      <c r="A57" s="10"/>
      <c r="B57" s="14" t="s">
        <v>3226</v>
      </c>
      <c r="C57" s="14" t="s">
        <v>3227</v>
      </c>
      <c r="D57" s="14" t="s">
        <v>3228</v>
      </c>
      <c r="E57" s="14" t="s">
        <v>3229</v>
      </c>
      <c r="F57" s="14" t="s">
        <v>3184</v>
      </c>
      <c r="G57" s="14"/>
      <c r="H57" s="14" t="s">
        <v>3230</v>
      </c>
      <c r="I57" s="4"/>
      <c r="J57" s="4"/>
      <c r="K57" s="4"/>
      <c r="L57" s="4"/>
      <c r="M57" s="4"/>
      <c r="N57" s="4"/>
      <c r="O57" s="4"/>
      <c r="P57" s="4"/>
      <c r="Q57" s="4"/>
      <c r="R57" s="4"/>
      <c r="S57" s="4"/>
      <c r="T57" s="4"/>
      <c r="U57" s="4"/>
      <c r="V57" s="4"/>
      <c r="W57" s="4"/>
      <c r="X57" s="4"/>
      <c r="Y57" s="4"/>
      <c r="Z57" s="4"/>
      <c r="AA57" s="4"/>
    </row>
    <row r="58" spans="1:27" ht="62.25" customHeight="1" x14ac:dyDescent="0.15">
      <c r="A58" s="10"/>
      <c r="B58" s="14"/>
      <c r="C58" s="14"/>
      <c r="D58" s="14"/>
      <c r="E58" s="14"/>
      <c r="F58" s="14"/>
      <c r="G58" s="14"/>
      <c r="H58" s="14" t="s">
        <v>3118</v>
      </c>
      <c r="I58" s="4"/>
      <c r="J58" s="4"/>
      <c r="K58" s="4"/>
      <c r="L58" s="4"/>
      <c r="M58" s="4"/>
      <c r="N58" s="4"/>
      <c r="O58" s="4"/>
      <c r="P58" s="4"/>
      <c r="Q58" s="4"/>
      <c r="R58" s="4"/>
      <c r="S58" s="4"/>
      <c r="T58" s="4"/>
      <c r="U58" s="4"/>
      <c r="V58" s="4"/>
      <c r="W58" s="4"/>
      <c r="X58" s="4"/>
      <c r="Y58" s="4"/>
      <c r="Z58" s="4"/>
      <c r="AA58" s="4"/>
    </row>
    <row r="59" spans="1:27" ht="62.25" customHeight="1" x14ac:dyDescent="0.15">
      <c r="A59" s="10"/>
      <c r="B59" s="14" t="s">
        <v>3231</v>
      </c>
      <c r="C59" s="15" t="s">
        <v>3232</v>
      </c>
      <c r="D59" s="14"/>
      <c r="E59" s="14"/>
      <c r="F59" s="14" t="s">
        <v>3184</v>
      </c>
      <c r="G59" s="14"/>
      <c r="H59" s="14" t="s">
        <v>3233</v>
      </c>
      <c r="I59" s="4"/>
      <c r="J59" s="4"/>
      <c r="K59" s="4"/>
      <c r="L59" s="4"/>
      <c r="M59" s="4"/>
      <c r="N59" s="4"/>
      <c r="O59" s="4"/>
      <c r="P59" s="4"/>
      <c r="Q59" s="4"/>
      <c r="R59" s="4"/>
      <c r="S59" s="4"/>
      <c r="T59" s="4"/>
      <c r="U59" s="4"/>
      <c r="V59" s="4"/>
      <c r="W59" s="4"/>
      <c r="X59" s="4"/>
      <c r="Y59" s="4"/>
      <c r="Z59" s="4"/>
      <c r="AA59" s="4"/>
    </row>
    <row r="60" spans="1:27" ht="62.25" customHeight="1" x14ac:dyDescent="0.15">
      <c r="A60" s="10"/>
      <c r="B60" s="14" t="s">
        <v>3234</v>
      </c>
      <c r="C60" s="14" t="s">
        <v>3235</v>
      </c>
      <c r="D60" s="15" t="s">
        <v>3236</v>
      </c>
      <c r="E60" s="14"/>
      <c r="F60" s="14" t="s">
        <v>3184</v>
      </c>
      <c r="G60" s="14"/>
      <c r="H60" s="14" t="s">
        <v>3237</v>
      </c>
      <c r="I60" s="4"/>
      <c r="J60" s="4"/>
      <c r="K60" s="4"/>
      <c r="L60" s="4"/>
      <c r="M60" s="4"/>
      <c r="N60" s="4"/>
      <c r="O60" s="4"/>
      <c r="P60" s="4"/>
      <c r="Q60" s="4"/>
      <c r="R60" s="4"/>
      <c r="S60" s="4"/>
      <c r="T60" s="4"/>
      <c r="U60" s="4"/>
      <c r="V60" s="4"/>
      <c r="W60" s="4"/>
      <c r="X60" s="4"/>
      <c r="Y60" s="4"/>
      <c r="Z60" s="4"/>
      <c r="AA60" s="4"/>
    </row>
    <row r="61" spans="1:27" ht="62.25" customHeight="1" x14ac:dyDescent="0.15">
      <c r="A61" s="10"/>
      <c r="B61" s="14" t="s">
        <v>3238</v>
      </c>
      <c r="C61" s="15" t="s">
        <v>3239</v>
      </c>
      <c r="D61" s="14"/>
      <c r="E61" s="14"/>
      <c r="F61" s="14"/>
      <c r="G61" s="15" t="s">
        <v>3240</v>
      </c>
      <c r="H61" s="14" t="s">
        <v>3241</v>
      </c>
      <c r="I61" s="4"/>
      <c r="J61" s="4"/>
      <c r="K61" s="4"/>
      <c r="L61" s="4"/>
      <c r="M61" s="4"/>
      <c r="N61" s="4"/>
      <c r="O61" s="4"/>
      <c r="P61" s="4"/>
      <c r="Q61" s="4"/>
      <c r="R61" s="4"/>
      <c r="S61" s="4"/>
      <c r="T61" s="4"/>
      <c r="U61" s="4"/>
      <c r="V61" s="4"/>
      <c r="W61" s="4"/>
      <c r="X61" s="4"/>
      <c r="Y61" s="4"/>
      <c r="Z61" s="4"/>
      <c r="AA61" s="4"/>
    </row>
    <row r="62" spans="1:27" ht="62.25" customHeight="1" x14ac:dyDescent="0.15">
      <c r="A62" s="18"/>
      <c r="B62" s="15" t="s">
        <v>3242</v>
      </c>
      <c r="C62" s="14"/>
      <c r="D62" s="14"/>
      <c r="E62" s="15" t="s">
        <v>3243</v>
      </c>
      <c r="F62" s="14"/>
      <c r="G62" s="17" t="s">
        <v>3244</v>
      </c>
      <c r="H62" s="14" t="s">
        <v>3245</v>
      </c>
      <c r="I62" s="4"/>
      <c r="J62" s="4"/>
      <c r="K62" s="4"/>
      <c r="L62" s="4"/>
      <c r="M62" s="4"/>
      <c r="N62" s="4"/>
      <c r="O62" s="4"/>
      <c r="P62" s="4"/>
      <c r="Q62" s="4"/>
      <c r="R62" s="4"/>
      <c r="S62" s="4"/>
      <c r="T62" s="4"/>
      <c r="U62" s="4"/>
      <c r="V62" s="4"/>
      <c r="W62" s="4"/>
      <c r="X62" s="4"/>
      <c r="Y62" s="4"/>
      <c r="Z62" s="4"/>
      <c r="AA62" s="4"/>
    </row>
    <row r="63" spans="1:27" ht="62.25" customHeight="1" x14ac:dyDescent="0.15">
      <c r="A63" s="10"/>
      <c r="B63" s="14" t="s">
        <v>3246</v>
      </c>
      <c r="C63" s="14" t="s">
        <v>3247</v>
      </c>
      <c r="D63" s="14" t="s">
        <v>3248</v>
      </c>
      <c r="E63" s="14" t="s">
        <v>3249</v>
      </c>
      <c r="F63" s="14" t="s">
        <v>3184</v>
      </c>
      <c r="G63" s="14"/>
      <c r="H63" s="14" t="s">
        <v>3250</v>
      </c>
      <c r="I63" s="4"/>
      <c r="J63" s="4"/>
      <c r="K63" s="4"/>
      <c r="L63" s="4"/>
      <c r="M63" s="4"/>
      <c r="N63" s="4"/>
      <c r="O63" s="4"/>
      <c r="P63" s="4"/>
      <c r="Q63" s="4"/>
      <c r="R63" s="4"/>
      <c r="S63" s="4"/>
      <c r="T63" s="4"/>
      <c r="U63" s="4"/>
      <c r="V63" s="4"/>
      <c r="W63" s="4"/>
      <c r="X63" s="4"/>
      <c r="Y63" s="4"/>
      <c r="Z63" s="4"/>
      <c r="AA63" s="4"/>
    </row>
    <row r="64" spans="1:27" ht="62.25" customHeight="1" x14ac:dyDescent="0.15">
      <c r="A64" s="10"/>
      <c r="B64" s="14" t="s">
        <v>3251</v>
      </c>
      <c r="C64" s="14" t="s">
        <v>3252</v>
      </c>
      <c r="D64" s="14" t="s">
        <v>3253</v>
      </c>
      <c r="E64" s="14" t="s">
        <v>3254</v>
      </c>
      <c r="F64" s="14" t="s">
        <v>3179</v>
      </c>
      <c r="G64" s="15" t="s">
        <v>3255</v>
      </c>
      <c r="H64" s="14" t="s">
        <v>3256</v>
      </c>
      <c r="I64" s="4"/>
      <c r="J64" s="4"/>
      <c r="K64" s="4"/>
      <c r="L64" s="4"/>
      <c r="M64" s="4"/>
      <c r="N64" s="4"/>
      <c r="O64" s="4"/>
      <c r="P64" s="4"/>
      <c r="Q64" s="4"/>
      <c r="R64" s="4"/>
      <c r="S64" s="4"/>
      <c r="T64" s="4"/>
      <c r="U64" s="4"/>
      <c r="V64" s="4"/>
      <c r="W64" s="4"/>
      <c r="X64" s="4"/>
      <c r="Y64" s="4"/>
      <c r="Z64" s="4"/>
      <c r="AA64" s="4"/>
    </row>
    <row r="65" spans="1:27" ht="62.25" customHeight="1" x14ac:dyDescent="0.15">
      <c r="A65" s="10"/>
      <c r="B65" s="14" t="s">
        <v>3257</v>
      </c>
      <c r="C65" s="14" t="s">
        <v>3258</v>
      </c>
      <c r="D65" s="15" t="s">
        <v>3259</v>
      </c>
      <c r="E65" s="14"/>
      <c r="F65" s="14" t="s">
        <v>3179</v>
      </c>
      <c r="G65" s="15" t="s">
        <v>3260</v>
      </c>
      <c r="H65" s="14" t="s">
        <v>3261</v>
      </c>
      <c r="I65" s="4"/>
      <c r="J65" s="4"/>
      <c r="K65" s="4"/>
      <c r="L65" s="4"/>
      <c r="M65" s="4"/>
      <c r="N65" s="4"/>
      <c r="O65" s="4"/>
      <c r="P65" s="4"/>
      <c r="Q65" s="4"/>
      <c r="R65" s="4"/>
      <c r="S65" s="4"/>
      <c r="T65" s="4"/>
      <c r="U65" s="4"/>
      <c r="V65" s="4"/>
      <c r="W65" s="4"/>
      <c r="X65" s="4"/>
      <c r="Y65" s="4"/>
      <c r="Z65" s="4"/>
      <c r="AA65" s="4"/>
    </row>
    <row r="66" spans="1:27" ht="62.25" customHeight="1" x14ac:dyDescent="0.15">
      <c r="A66" s="10"/>
      <c r="B66" s="14" t="s">
        <v>3262</v>
      </c>
      <c r="C66" s="14" t="s">
        <v>3263</v>
      </c>
      <c r="D66" s="14" t="s">
        <v>3264</v>
      </c>
      <c r="E66" s="14" t="s">
        <v>3265</v>
      </c>
      <c r="F66" s="14" t="s">
        <v>3179</v>
      </c>
      <c r="G66" s="14"/>
      <c r="H66" s="14" t="s">
        <v>3266</v>
      </c>
      <c r="I66" s="4"/>
      <c r="J66" s="4"/>
      <c r="K66" s="4"/>
      <c r="L66" s="4"/>
      <c r="M66" s="4"/>
      <c r="N66" s="4"/>
      <c r="O66" s="4"/>
      <c r="P66" s="4"/>
      <c r="Q66" s="4"/>
      <c r="R66" s="4"/>
      <c r="S66" s="4"/>
      <c r="T66" s="4"/>
      <c r="U66" s="4"/>
      <c r="V66" s="4"/>
      <c r="W66" s="4"/>
      <c r="X66" s="4"/>
      <c r="Y66" s="4"/>
      <c r="Z66" s="4"/>
      <c r="AA66" s="4"/>
    </row>
    <row r="67" spans="1:27" ht="62.25" customHeight="1" x14ac:dyDescent="0.15">
      <c r="A67" s="18"/>
      <c r="B67" s="15" t="s">
        <v>3267</v>
      </c>
      <c r="C67" s="14"/>
      <c r="D67" s="14" t="s">
        <v>3268</v>
      </c>
      <c r="E67" s="15" t="s">
        <v>3269</v>
      </c>
      <c r="F67" s="14"/>
      <c r="G67" s="14"/>
      <c r="H67" s="14" t="s">
        <v>3270</v>
      </c>
      <c r="I67" s="4"/>
      <c r="J67" s="4"/>
      <c r="K67" s="4"/>
      <c r="L67" s="4"/>
      <c r="M67" s="4"/>
      <c r="N67" s="4"/>
      <c r="O67" s="4"/>
      <c r="P67" s="4"/>
      <c r="Q67" s="4"/>
      <c r="R67" s="4"/>
      <c r="S67" s="4"/>
      <c r="T67" s="4"/>
      <c r="U67" s="4"/>
      <c r="V67" s="4"/>
      <c r="W67" s="4"/>
      <c r="X67" s="4"/>
      <c r="Y67" s="4"/>
      <c r="Z67" s="4"/>
      <c r="AA67" s="4"/>
    </row>
    <row r="68" spans="1:27" ht="62.25" customHeight="1" x14ac:dyDescent="0.15">
      <c r="A68" s="10"/>
      <c r="B68" s="14" t="s">
        <v>3271</v>
      </c>
      <c r="C68" s="14" t="s">
        <v>3272</v>
      </c>
      <c r="D68" s="15" t="s">
        <v>3273</v>
      </c>
      <c r="E68" s="14"/>
      <c r="F68" s="14" t="s">
        <v>3179</v>
      </c>
      <c r="G68" s="14"/>
      <c r="H68" s="14" t="s">
        <v>3274</v>
      </c>
      <c r="I68" s="4"/>
      <c r="J68" s="4"/>
      <c r="K68" s="4"/>
      <c r="L68" s="4"/>
      <c r="M68" s="4"/>
      <c r="N68" s="4"/>
      <c r="O68" s="4"/>
      <c r="P68" s="4"/>
      <c r="Q68" s="4"/>
      <c r="R68" s="4"/>
      <c r="S68" s="4"/>
      <c r="T68" s="4"/>
      <c r="U68" s="4"/>
      <c r="V68" s="4"/>
      <c r="W68" s="4"/>
      <c r="X68" s="4"/>
      <c r="Y68" s="4"/>
      <c r="Z68" s="4"/>
      <c r="AA68" s="4"/>
    </row>
    <row r="69" spans="1:27" ht="62.25" customHeight="1" x14ac:dyDescent="0.15">
      <c r="A69" s="18"/>
      <c r="B69" s="15" t="s">
        <v>3275</v>
      </c>
      <c r="C69" s="14"/>
      <c r="D69" s="14"/>
      <c r="E69" s="14"/>
      <c r="F69" s="14"/>
      <c r="G69" s="14"/>
      <c r="H69" s="14" t="s">
        <v>3276</v>
      </c>
      <c r="I69" s="4"/>
      <c r="J69" s="4"/>
      <c r="K69" s="4"/>
      <c r="L69" s="4"/>
      <c r="M69" s="4"/>
      <c r="N69" s="4"/>
      <c r="O69" s="4"/>
      <c r="P69" s="4"/>
      <c r="Q69" s="4"/>
      <c r="R69" s="4"/>
      <c r="S69" s="4"/>
      <c r="T69" s="4"/>
      <c r="U69" s="4"/>
      <c r="V69" s="4"/>
      <c r="W69" s="4"/>
      <c r="X69" s="4"/>
      <c r="Y69" s="4"/>
      <c r="Z69" s="4"/>
      <c r="AA69" s="4"/>
    </row>
    <row r="70" spans="1:27" ht="62.25" customHeight="1" x14ac:dyDescent="0.15">
      <c r="A70" s="10"/>
      <c r="B70" s="14" t="s">
        <v>3277</v>
      </c>
      <c r="C70" s="15" t="s">
        <v>3278</v>
      </c>
      <c r="D70" s="14"/>
      <c r="E70" s="14"/>
      <c r="F70" s="14" t="s">
        <v>3179</v>
      </c>
      <c r="G70" s="14"/>
      <c r="H70" s="14" t="s">
        <v>3279</v>
      </c>
      <c r="I70" s="4"/>
      <c r="J70" s="4"/>
      <c r="K70" s="4"/>
      <c r="L70" s="4"/>
      <c r="M70" s="4"/>
      <c r="N70" s="4"/>
      <c r="O70" s="4"/>
      <c r="P70" s="4"/>
      <c r="Q70" s="4"/>
      <c r="R70" s="4"/>
      <c r="S70" s="4"/>
      <c r="T70" s="4"/>
      <c r="U70" s="4"/>
      <c r="V70" s="4"/>
      <c r="W70" s="4"/>
      <c r="X70" s="4"/>
      <c r="Y70" s="4"/>
      <c r="Z70" s="4"/>
      <c r="AA70" s="4"/>
    </row>
    <row r="71" spans="1:27" ht="62.25" customHeight="1" x14ac:dyDescent="0.15">
      <c r="A71" s="10"/>
      <c r="B71" s="14" t="s">
        <v>3280</v>
      </c>
      <c r="C71" s="14" t="s">
        <v>3281</v>
      </c>
      <c r="D71" s="15" t="s">
        <v>3282</v>
      </c>
      <c r="E71" s="14"/>
      <c r="F71" s="14" t="s">
        <v>3184</v>
      </c>
      <c r="G71" s="14"/>
      <c r="H71" s="14" t="s">
        <v>3283</v>
      </c>
      <c r="I71" s="4"/>
      <c r="J71" s="4"/>
      <c r="K71" s="4"/>
      <c r="L71" s="4"/>
      <c r="M71" s="4"/>
      <c r="N71" s="4"/>
      <c r="O71" s="4"/>
      <c r="P71" s="4"/>
      <c r="Q71" s="4"/>
      <c r="R71" s="4"/>
      <c r="S71" s="4"/>
      <c r="T71" s="4"/>
      <c r="U71" s="4"/>
      <c r="V71" s="4"/>
      <c r="W71" s="4"/>
      <c r="X71" s="4"/>
      <c r="Y71" s="4"/>
      <c r="Z71" s="4"/>
      <c r="AA71" s="4"/>
    </row>
    <row r="72" spans="1:27" ht="62.25" customHeight="1" x14ac:dyDescent="0.15">
      <c r="A72" s="10"/>
      <c r="B72" s="14" t="s">
        <v>3284</v>
      </c>
      <c r="C72" s="14" t="s">
        <v>3285</v>
      </c>
      <c r="D72" s="15" t="s">
        <v>3286</v>
      </c>
      <c r="E72" s="14"/>
      <c r="F72" s="14" t="s">
        <v>3179</v>
      </c>
      <c r="G72" s="14"/>
      <c r="H72" s="14" t="s">
        <v>3287</v>
      </c>
      <c r="I72" s="4"/>
      <c r="J72" s="4"/>
      <c r="K72" s="4"/>
      <c r="L72" s="4"/>
      <c r="M72" s="4"/>
      <c r="N72" s="4"/>
      <c r="O72" s="4"/>
      <c r="P72" s="4"/>
      <c r="Q72" s="4"/>
      <c r="R72" s="4"/>
      <c r="S72" s="4"/>
      <c r="T72" s="4"/>
      <c r="U72" s="4"/>
      <c r="V72" s="4"/>
      <c r="W72" s="4"/>
      <c r="X72" s="4"/>
      <c r="Y72" s="4"/>
      <c r="Z72" s="4"/>
      <c r="AA72" s="4"/>
    </row>
    <row r="73" spans="1:27" ht="62.25" customHeight="1" x14ac:dyDescent="0.15">
      <c r="A73" s="10"/>
      <c r="B73" s="14" t="s">
        <v>3288</v>
      </c>
      <c r="C73" s="14" t="s">
        <v>3289</v>
      </c>
      <c r="D73" s="15" t="s">
        <v>3290</v>
      </c>
      <c r="E73" s="14"/>
      <c r="F73" s="14" t="s">
        <v>3179</v>
      </c>
      <c r="G73" s="14"/>
      <c r="H73" s="14" t="s">
        <v>3291</v>
      </c>
      <c r="I73" s="4"/>
      <c r="J73" s="4"/>
      <c r="K73" s="4"/>
      <c r="L73" s="4"/>
      <c r="M73" s="4"/>
      <c r="N73" s="4"/>
      <c r="O73" s="4"/>
      <c r="P73" s="4"/>
      <c r="Q73" s="4"/>
      <c r="R73" s="4"/>
      <c r="S73" s="4"/>
      <c r="T73" s="4"/>
      <c r="U73" s="4"/>
      <c r="V73" s="4"/>
      <c r="W73" s="4"/>
      <c r="X73" s="4"/>
      <c r="Y73" s="4"/>
      <c r="Z73" s="4"/>
      <c r="AA73" s="4"/>
    </row>
    <row r="74" spans="1:27" ht="62.25" customHeight="1" x14ac:dyDescent="0.15">
      <c r="A74" s="10"/>
      <c r="B74" s="19" t="s">
        <v>3292</v>
      </c>
      <c r="C74" s="19" t="s">
        <v>3293</v>
      </c>
      <c r="D74" s="20" t="s">
        <v>3294</v>
      </c>
      <c r="E74" s="19"/>
      <c r="F74" s="19" t="s">
        <v>3184</v>
      </c>
      <c r="G74" s="19"/>
      <c r="H74" s="14" t="s">
        <v>3295</v>
      </c>
      <c r="I74" s="4"/>
      <c r="J74" s="4"/>
      <c r="K74" s="4"/>
      <c r="L74" s="4"/>
      <c r="M74" s="4"/>
      <c r="N74" s="4"/>
      <c r="O74" s="4"/>
      <c r="P74" s="4"/>
      <c r="Q74" s="4"/>
      <c r="R74" s="4"/>
      <c r="S74" s="4"/>
      <c r="T74" s="4"/>
      <c r="U74" s="4"/>
      <c r="V74" s="4"/>
      <c r="W74" s="4"/>
      <c r="X74" s="4"/>
      <c r="Y74" s="4"/>
      <c r="Z74" s="4"/>
      <c r="AA74" s="4"/>
    </row>
    <row r="75" spans="1:27" ht="62.25" customHeight="1" x14ac:dyDescent="0.15">
      <c r="A75" s="10"/>
      <c r="B75" s="14" t="s">
        <v>3296</v>
      </c>
      <c r="C75" s="14" t="s">
        <v>3297</v>
      </c>
      <c r="D75" s="15" t="s">
        <v>3298</v>
      </c>
      <c r="E75" s="14"/>
      <c r="F75" s="14" t="s">
        <v>3184</v>
      </c>
      <c r="G75" s="14"/>
      <c r="H75" s="14" t="s">
        <v>3299</v>
      </c>
      <c r="I75" s="4"/>
      <c r="J75" s="4"/>
      <c r="K75" s="4"/>
      <c r="L75" s="4"/>
      <c r="M75" s="4"/>
      <c r="N75" s="4"/>
      <c r="O75" s="4"/>
      <c r="P75" s="4"/>
      <c r="Q75" s="4"/>
      <c r="R75" s="4"/>
      <c r="S75" s="4"/>
      <c r="T75" s="4"/>
      <c r="U75" s="4"/>
      <c r="V75" s="4"/>
      <c r="W75" s="4"/>
      <c r="X75" s="4"/>
      <c r="Y75" s="4"/>
      <c r="Z75" s="4"/>
      <c r="AA75" s="4"/>
    </row>
    <row r="76" spans="1:27" ht="62.25" customHeight="1" x14ac:dyDescent="0.15">
      <c r="A76" s="10"/>
      <c r="B76" s="14" t="s">
        <v>3300</v>
      </c>
      <c r="C76" s="14" t="s">
        <v>3301</v>
      </c>
      <c r="D76" s="15" t="s">
        <v>3302</v>
      </c>
      <c r="E76" s="14"/>
      <c r="F76" s="14" t="s">
        <v>3184</v>
      </c>
      <c r="G76" s="14"/>
      <c r="H76" s="14" t="s">
        <v>3097</v>
      </c>
      <c r="I76" s="4"/>
      <c r="J76" s="4"/>
      <c r="K76" s="4"/>
      <c r="L76" s="4"/>
      <c r="M76" s="4"/>
      <c r="N76" s="4"/>
      <c r="O76" s="4"/>
      <c r="P76" s="4"/>
      <c r="Q76" s="4"/>
      <c r="R76" s="4"/>
      <c r="S76" s="4"/>
      <c r="T76" s="4"/>
      <c r="U76" s="4"/>
      <c r="V76" s="4"/>
      <c r="W76" s="4"/>
      <c r="X76" s="4"/>
      <c r="Y76" s="4"/>
      <c r="Z76" s="4"/>
      <c r="AA76" s="4"/>
    </row>
    <row r="77" spans="1:27" ht="62.25" customHeight="1" x14ac:dyDescent="0.15">
      <c r="A77" s="10"/>
      <c r="B77" s="14" t="s">
        <v>3303</v>
      </c>
      <c r="C77" s="14" t="s">
        <v>3304</v>
      </c>
      <c r="D77" s="15" t="s">
        <v>3305</v>
      </c>
      <c r="E77" s="14"/>
      <c r="F77" s="14" t="s">
        <v>3179</v>
      </c>
      <c r="G77" s="14"/>
      <c r="H77" s="14" t="s">
        <v>3306</v>
      </c>
      <c r="I77" s="4"/>
      <c r="J77" s="4"/>
      <c r="K77" s="4"/>
      <c r="L77" s="4"/>
      <c r="M77" s="4"/>
      <c r="N77" s="4"/>
      <c r="O77" s="4"/>
      <c r="P77" s="4"/>
      <c r="Q77" s="4"/>
      <c r="R77" s="4"/>
      <c r="S77" s="4"/>
      <c r="T77" s="4"/>
      <c r="U77" s="4"/>
      <c r="V77" s="4"/>
      <c r="W77" s="4"/>
      <c r="X77" s="4"/>
      <c r="Y77" s="4"/>
      <c r="Z77" s="4"/>
      <c r="AA77" s="4"/>
    </row>
    <row r="78" spans="1:27" ht="62.25" customHeight="1" x14ac:dyDescent="0.15">
      <c r="A78" s="10"/>
      <c r="B78" s="14" t="s">
        <v>3307</v>
      </c>
      <c r="C78" s="14" t="s">
        <v>3308</v>
      </c>
      <c r="D78" s="14" t="s">
        <v>3309</v>
      </c>
      <c r="E78" s="14" t="s">
        <v>3310</v>
      </c>
      <c r="F78" s="14" t="s">
        <v>3184</v>
      </c>
      <c r="G78" s="14"/>
      <c r="H78" s="14" t="s">
        <v>3311</v>
      </c>
      <c r="I78" s="4"/>
      <c r="J78" s="4"/>
      <c r="K78" s="4"/>
      <c r="L78" s="4"/>
      <c r="M78" s="4"/>
      <c r="N78" s="4"/>
      <c r="O78" s="4"/>
      <c r="P78" s="4"/>
      <c r="Q78" s="4"/>
      <c r="R78" s="4"/>
      <c r="S78" s="4"/>
      <c r="T78" s="4"/>
      <c r="U78" s="4"/>
      <c r="V78" s="4"/>
      <c r="W78" s="4"/>
      <c r="X78" s="4"/>
      <c r="Y78" s="4"/>
      <c r="Z78" s="4"/>
      <c r="AA78" s="4"/>
    </row>
    <row r="79" spans="1:27" ht="62.25" customHeight="1" x14ac:dyDescent="0.15">
      <c r="A79" s="10"/>
      <c r="B79" s="14" t="s">
        <v>3312</v>
      </c>
      <c r="C79" s="14" t="s">
        <v>3313</v>
      </c>
      <c r="D79" s="14" t="s">
        <v>3314</v>
      </c>
      <c r="E79" s="14" t="s">
        <v>3315</v>
      </c>
      <c r="F79" s="14" t="s">
        <v>3179</v>
      </c>
      <c r="G79" s="14"/>
      <c r="H79" s="14" t="s">
        <v>3316</v>
      </c>
      <c r="I79" s="4"/>
      <c r="J79" s="4"/>
      <c r="K79" s="4"/>
      <c r="L79" s="4"/>
      <c r="M79" s="4"/>
      <c r="N79" s="4"/>
      <c r="O79" s="4"/>
      <c r="P79" s="4"/>
      <c r="Q79" s="4"/>
      <c r="R79" s="4"/>
      <c r="S79" s="4"/>
      <c r="T79" s="4"/>
      <c r="U79" s="4"/>
      <c r="V79" s="4"/>
      <c r="W79" s="4"/>
      <c r="X79" s="4"/>
      <c r="Y79" s="4"/>
      <c r="Z79" s="4"/>
      <c r="AA79" s="4"/>
    </row>
    <row r="80" spans="1:27" ht="62.25" customHeight="1" x14ac:dyDescent="0.15">
      <c r="A80" s="10"/>
      <c r="B80" s="14" t="s">
        <v>3317</v>
      </c>
      <c r="C80" s="14" t="s">
        <v>3318</v>
      </c>
      <c r="D80" s="15" t="s">
        <v>3319</v>
      </c>
      <c r="E80" s="14"/>
      <c r="F80" s="14" t="s">
        <v>3179</v>
      </c>
      <c r="G80" s="14"/>
      <c r="H80" s="14" t="s">
        <v>3320</v>
      </c>
      <c r="I80" s="4"/>
      <c r="J80" s="4"/>
      <c r="K80" s="4"/>
      <c r="L80" s="4"/>
      <c r="M80" s="4"/>
      <c r="N80" s="4"/>
      <c r="O80" s="4"/>
      <c r="P80" s="4"/>
      <c r="Q80" s="4"/>
      <c r="R80" s="4"/>
      <c r="S80" s="4"/>
      <c r="T80" s="4"/>
      <c r="U80" s="4"/>
      <c r="V80" s="4"/>
      <c r="W80" s="4"/>
      <c r="X80" s="4"/>
      <c r="Y80" s="4"/>
      <c r="Z80" s="4"/>
      <c r="AA80" s="4"/>
    </row>
    <row r="81" spans="1:27" ht="62.25" customHeight="1" x14ac:dyDescent="0.15">
      <c r="A81" s="10"/>
      <c r="B81" s="14" t="s">
        <v>3321</v>
      </c>
      <c r="C81" s="14" t="s">
        <v>3322</v>
      </c>
      <c r="D81" s="14" t="s">
        <v>3323</v>
      </c>
      <c r="E81" s="14" t="s">
        <v>3324</v>
      </c>
      <c r="F81" s="14" t="s">
        <v>3179</v>
      </c>
      <c r="G81" s="14" t="s">
        <v>3325</v>
      </c>
      <c r="H81" s="14" t="s">
        <v>3326</v>
      </c>
      <c r="I81" s="4"/>
      <c r="J81" s="4"/>
      <c r="K81" s="4"/>
      <c r="L81" s="4"/>
      <c r="M81" s="4"/>
      <c r="N81" s="4"/>
      <c r="O81" s="4"/>
      <c r="P81" s="4"/>
      <c r="Q81" s="4"/>
      <c r="R81" s="4"/>
      <c r="S81" s="4"/>
      <c r="T81" s="4"/>
      <c r="U81" s="4"/>
      <c r="V81" s="4"/>
      <c r="W81" s="4"/>
      <c r="X81" s="4"/>
      <c r="Y81" s="4"/>
      <c r="Z81" s="4"/>
      <c r="AA81" s="4"/>
    </row>
    <row r="82" spans="1:27" ht="62.25" customHeight="1" x14ac:dyDescent="0.15">
      <c r="A82" s="10"/>
      <c r="B82" s="14" t="s">
        <v>3327</v>
      </c>
      <c r="C82" s="14" t="s">
        <v>3328</v>
      </c>
      <c r="D82" s="14" t="s">
        <v>3329</v>
      </c>
      <c r="E82" s="14" t="s">
        <v>3330</v>
      </c>
      <c r="F82" s="14" t="s">
        <v>3179</v>
      </c>
      <c r="G82" s="14"/>
      <c r="H82" s="14" t="s">
        <v>3331</v>
      </c>
      <c r="I82" s="4"/>
      <c r="J82" s="4"/>
      <c r="K82" s="4"/>
      <c r="L82" s="4"/>
      <c r="M82" s="4"/>
      <c r="N82" s="4"/>
      <c r="O82" s="4"/>
      <c r="P82" s="4"/>
      <c r="Q82" s="4"/>
      <c r="R82" s="4"/>
      <c r="S82" s="4"/>
      <c r="T82" s="4"/>
      <c r="U82" s="4"/>
      <c r="V82" s="4"/>
      <c r="W82" s="4"/>
      <c r="X82" s="4"/>
      <c r="Y82" s="4"/>
      <c r="Z82" s="4"/>
      <c r="AA82" s="4"/>
    </row>
    <row r="83" spans="1:27" ht="62.25" customHeight="1" x14ac:dyDescent="0.15">
      <c r="A83" s="10"/>
      <c r="B83" s="14" t="s">
        <v>3332</v>
      </c>
      <c r="C83" s="14" t="s">
        <v>3333</v>
      </c>
      <c r="D83" s="15" t="s">
        <v>3334</v>
      </c>
      <c r="E83" s="14"/>
      <c r="F83" s="14" t="s">
        <v>3179</v>
      </c>
      <c r="G83" s="14"/>
      <c r="H83" s="14" t="s">
        <v>3335</v>
      </c>
      <c r="I83" s="4"/>
      <c r="J83" s="4"/>
      <c r="K83" s="4"/>
      <c r="L83" s="4"/>
      <c r="M83" s="4"/>
      <c r="N83" s="4"/>
      <c r="O83" s="4"/>
      <c r="P83" s="4"/>
      <c r="Q83" s="4"/>
      <c r="R83" s="4"/>
      <c r="S83" s="4"/>
      <c r="T83" s="4"/>
      <c r="U83" s="4"/>
      <c r="V83" s="4"/>
      <c r="W83" s="4"/>
      <c r="X83" s="4"/>
      <c r="Y83" s="4"/>
      <c r="Z83" s="4"/>
      <c r="AA83" s="4"/>
    </row>
    <row r="84" spans="1:27" ht="62.25" customHeight="1" x14ac:dyDescent="0.15">
      <c r="A84" s="10"/>
      <c r="B84" s="14" t="s">
        <v>3336</v>
      </c>
      <c r="C84" s="14" t="s">
        <v>3337</v>
      </c>
      <c r="D84" s="15" t="s">
        <v>3338</v>
      </c>
      <c r="E84" s="14"/>
      <c r="F84" s="14" t="s">
        <v>3179</v>
      </c>
      <c r="G84" s="14"/>
      <c r="H84" s="14" t="s">
        <v>3339</v>
      </c>
      <c r="I84" s="4"/>
      <c r="J84" s="4"/>
      <c r="K84" s="4"/>
      <c r="L84" s="4"/>
      <c r="M84" s="4"/>
      <c r="N84" s="4"/>
      <c r="O84" s="4"/>
      <c r="P84" s="4"/>
      <c r="Q84" s="4"/>
      <c r="R84" s="4"/>
      <c r="S84" s="4"/>
      <c r="T84" s="4"/>
      <c r="U84" s="4"/>
      <c r="V84" s="4"/>
      <c r="W84" s="4"/>
      <c r="X84" s="4"/>
      <c r="Y84" s="4"/>
      <c r="Z84" s="4"/>
      <c r="AA84" s="4"/>
    </row>
    <row r="85" spans="1:27" ht="62.25" customHeight="1" x14ac:dyDescent="0.15">
      <c r="A85" s="10"/>
      <c r="B85" s="14" t="s">
        <v>3340</v>
      </c>
      <c r="C85" s="14" t="s">
        <v>3341</v>
      </c>
      <c r="D85" s="15" t="s">
        <v>3342</v>
      </c>
      <c r="E85" s="14"/>
      <c r="F85" s="14" t="s">
        <v>3179</v>
      </c>
      <c r="G85" s="14"/>
      <c r="H85" s="14" t="s">
        <v>3343</v>
      </c>
      <c r="I85" s="4"/>
      <c r="J85" s="4"/>
      <c r="K85" s="4"/>
      <c r="L85" s="4"/>
      <c r="M85" s="4"/>
      <c r="N85" s="4"/>
      <c r="O85" s="4"/>
      <c r="P85" s="4"/>
      <c r="Q85" s="4"/>
      <c r="R85" s="4"/>
      <c r="S85" s="4"/>
      <c r="T85" s="4"/>
      <c r="U85" s="4"/>
      <c r="V85" s="4"/>
      <c r="W85" s="4"/>
      <c r="X85" s="4"/>
      <c r="Y85" s="4"/>
      <c r="Z85" s="4"/>
      <c r="AA85" s="4"/>
    </row>
    <row r="86" spans="1:27" ht="62.25" customHeight="1" x14ac:dyDescent="0.15">
      <c r="A86" s="10"/>
      <c r="B86" s="14" t="s">
        <v>3344</v>
      </c>
      <c r="C86" s="14" t="s">
        <v>3345</v>
      </c>
      <c r="D86" s="15" t="s">
        <v>3346</v>
      </c>
      <c r="E86" s="14"/>
      <c r="F86" s="14" t="s">
        <v>3179</v>
      </c>
      <c r="G86" s="14"/>
      <c r="H86" s="14" t="s">
        <v>3347</v>
      </c>
      <c r="I86" s="4"/>
      <c r="J86" s="4"/>
      <c r="K86" s="4"/>
      <c r="L86" s="4"/>
      <c r="M86" s="4"/>
      <c r="N86" s="4"/>
      <c r="O86" s="4"/>
      <c r="P86" s="4"/>
      <c r="Q86" s="4"/>
      <c r="R86" s="4"/>
      <c r="S86" s="4"/>
      <c r="T86" s="4"/>
      <c r="U86" s="4"/>
      <c r="V86" s="4"/>
      <c r="W86" s="4"/>
      <c r="X86" s="4"/>
      <c r="Y86" s="4"/>
      <c r="Z86" s="4"/>
      <c r="AA86" s="4"/>
    </row>
    <row r="87" spans="1:27" ht="62.25" customHeight="1" x14ac:dyDescent="0.15">
      <c r="A87" s="10"/>
      <c r="B87" s="14" t="s">
        <v>3348</v>
      </c>
      <c r="C87" s="14" t="s">
        <v>3349</v>
      </c>
      <c r="D87" s="15" t="s">
        <v>3350</v>
      </c>
      <c r="E87" s="14"/>
      <c r="F87" s="14" t="s">
        <v>3179</v>
      </c>
      <c r="G87" s="14"/>
      <c r="H87" s="14" t="s">
        <v>3351</v>
      </c>
      <c r="I87" s="4"/>
      <c r="J87" s="4"/>
      <c r="K87" s="4"/>
      <c r="L87" s="4"/>
      <c r="M87" s="4"/>
      <c r="N87" s="4"/>
      <c r="O87" s="4"/>
      <c r="P87" s="4"/>
      <c r="Q87" s="4"/>
      <c r="R87" s="4"/>
      <c r="S87" s="4"/>
      <c r="T87" s="4"/>
      <c r="U87" s="4"/>
      <c r="V87" s="4"/>
      <c r="W87" s="4"/>
      <c r="X87" s="4"/>
      <c r="Y87" s="4"/>
      <c r="Z87" s="4"/>
      <c r="AA87" s="4"/>
    </row>
    <row r="88" spans="1:27" ht="62.25" customHeight="1" x14ac:dyDescent="0.15">
      <c r="A88" s="10"/>
      <c r="B88" s="14" t="s">
        <v>3352</v>
      </c>
      <c r="C88" s="14" t="s">
        <v>3353</v>
      </c>
      <c r="D88" s="15" t="s">
        <v>3354</v>
      </c>
      <c r="E88" s="14"/>
      <c r="F88" s="14" t="s">
        <v>3184</v>
      </c>
      <c r="G88" s="14" t="s">
        <v>3355</v>
      </c>
      <c r="H88" s="14" t="s">
        <v>3356</v>
      </c>
      <c r="I88" s="4"/>
      <c r="J88" s="4"/>
      <c r="K88" s="4"/>
      <c r="L88" s="4"/>
      <c r="M88" s="4"/>
      <c r="N88" s="4"/>
      <c r="O88" s="4"/>
      <c r="P88" s="4"/>
      <c r="Q88" s="4"/>
      <c r="R88" s="4"/>
      <c r="S88" s="4"/>
      <c r="T88" s="4"/>
      <c r="U88" s="4"/>
      <c r="V88" s="4"/>
      <c r="W88" s="4"/>
      <c r="X88" s="4"/>
      <c r="Y88" s="4"/>
      <c r="Z88" s="4"/>
      <c r="AA88" s="4"/>
    </row>
    <row r="89" spans="1:27" ht="62.25" customHeight="1" x14ac:dyDescent="0.15">
      <c r="A89" s="10"/>
      <c r="B89" s="14" t="s">
        <v>3357</v>
      </c>
      <c r="C89" s="14" t="s">
        <v>3358</v>
      </c>
      <c r="D89" s="14" t="s">
        <v>3359</v>
      </c>
      <c r="E89" s="14" t="s">
        <v>3360</v>
      </c>
      <c r="F89" s="14" t="s">
        <v>3179</v>
      </c>
      <c r="G89" s="14" t="s">
        <v>3361</v>
      </c>
      <c r="H89" s="14" t="s">
        <v>3362</v>
      </c>
      <c r="I89" s="4"/>
      <c r="J89" s="4"/>
      <c r="K89" s="4"/>
      <c r="L89" s="4"/>
      <c r="M89" s="4"/>
      <c r="N89" s="4"/>
      <c r="O89" s="4"/>
      <c r="P89" s="4"/>
      <c r="Q89" s="4"/>
      <c r="R89" s="4"/>
      <c r="S89" s="4"/>
      <c r="T89" s="4"/>
      <c r="U89" s="4"/>
      <c r="V89" s="4"/>
      <c r="W89" s="4"/>
      <c r="X89" s="4"/>
      <c r="Y89" s="4"/>
      <c r="Z89" s="4"/>
      <c r="AA89" s="4"/>
    </row>
    <row r="90" spans="1:27" ht="62.25" customHeight="1" x14ac:dyDescent="0.15">
      <c r="A90" s="10"/>
      <c r="B90" s="14" t="s">
        <v>3363</v>
      </c>
      <c r="C90" s="14" t="s">
        <v>3364</v>
      </c>
      <c r="D90" s="15" t="s">
        <v>3365</v>
      </c>
      <c r="E90" s="14"/>
      <c r="F90" s="14" t="s">
        <v>3184</v>
      </c>
      <c r="G90" s="14"/>
      <c r="H90" s="14" t="s">
        <v>3366</v>
      </c>
      <c r="I90" s="4"/>
      <c r="J90" s="4"/>
      <c r="K90" s="4"/>
      <c r="L90" s="4"/>
      <c r="M90" s="4"/>
      <c r="N90" s="4"/>
      <c r="O90" s="4"/>
      <c r="P90" s="4"/>
      <c r="Q90" s="4"/>
      <c r="R90" s="4"/>
      <c r="S90" s="4"/>
      <c r="T90" s="4"/>
      <c r="U90" s="4"/>
      <c r="V90" s="4"/>
      <c r="W90" s="4"/>
      <c r="X90" s="4"/>
      <c r="Y90" s="4"/>
      <c r="Z90" s="4"/>
      <c r="AA90" s="4"/>
    </row>
    <row r="91" spans="1:27" ht="62.25" customHeight="1" x14ac:dyDescent="0.15">
      <c r="A91" s="10"/>
      <c r="B91" s="14" t="s">
        <v>3367</v>
      </c>
      <c r="C91" s="15" t="s">
        <v>3368</v>
      </c>
      <c r="D91" s="14"/>
      <c r="E91" s="14"/>
      <c r="F91" s="14" t="s">
        <v>3179</v>
      </c>
      <c r="G91" s="14" t="s">
        <v>3369</v>
      </c>
      <c r="H91" s="14" t="s">
        <v>3370</v>
      </c>
      <c r="I91" s="4"/>
      <c r="J91" s="4"/>
      <c r="K91" s="4"/>
      <c r="L91" s="4"/>
      <c r="M91" s="4"/>
      <c r="N91" s="4"/>
      <c r="O91" s="4"/>
      <c r="P91" s="4"/>
      <c r="Q91" s="4"/>
      <c r="R91" s="4"/>
      <c r="S91" s="4"/>
      <c r="T91" s="4"/>
      <c r="U91" s="4"/>
      <c r="V91" s="4"/>
      <c r="W91" s="4"/>
      <c r="X91" s="4"/>
      <c r="Y91" s="4"/>
      <c r="Z91" s="4"/>
      <c r="AA91" s="4"/>
    </row>
    <row r="92" spans="1:27" ht="62.25" customHeight="1" x14ac:dyDescent="0.15">
      <c r="A92" s="10"/>
      <c r="B92" s="14" t="s">
        <v>3371</v>
      </c>
      <c r="C92" s="14" t="s">
        <v>3372</v>
      </c>
      <c r="D92" s="15" t="s">
        <v>3373</v>
      </c>
      <c r="E92" s="14"/>
      <c r="F92" s="14" t="s">
        <v>3179</v>
      </c>
      <c r="G92" s="14"/>
      <c r="H92" s="14" t="s">
        <v>3374</v>
      </c>
      <c r="I92" s="4"/>
      <c r="J92" s="4"/>
      <c r="K92" s="4"/>
      <c r="L92" s="4"/>
      <c r="M92" s="4"/>
      <c r="N92" s="4"/>
      <c r="O92" s="4"/>
      <c r="P92" s="4"/>
      <c r="Q92" s="4"/>
      <c r="R92" s="4"/>
      <c r="S92" s="4"/>
      <c r="T92" s="4"/>
      <c r="U92" s="4"/>
      <c r="V92" s="4"/>
      <c r="W92" s="4"/>
      <c r="X92" s="4"/>
      <c r="Y92" s="4"/>
      <c r="Z92" s="4"/>
      <c r="AA92" s="4"/>
    </row>
    <row r="93" spans="1:27" ht="62.25" customHeight="1" x14ac:dyDescent="0.15">
      <c r="A93" s="10"/>
      <c r="B93" s="14" t="s">
        <v>3375</v>
      </c>
      <c r="C93" s="14" t="s">
        <v>3376</v>
      </c>
      <c r="D93" s="14" t="s">
        <v>3377</v>
      </c>
      <c r="E93" s="14" t="s">
        <v>3378</v>
      </c>
      <c r="F93" s="14" t="s">
        <v>3184</v>
      </c>
      <c r="G93" s="14"/>
      <c r="H93" s="14" t="s">
        <v>3379</v>
      </c>
      <c r="I93" s="4"/>
      <c r="J93" s="4"/>
      <c r="K93" s="4"/>
      <c r="L93" s="4"/>
      <c r="M93" s="4"/>
      <c r="N93" s="4"/>
      <c r="O93" s="4"/>
      <c r="P93" s="4"/>
      <c r="Q93" s="4"/>
      <c r="R93" s="4"/>
      <c r="S93" s="4"/>
      <c r="T93" s="4"/>
      <c r="U93" s="4"/>
      <c r="V93" s="4"/>
      <c r="W93" s="4"/>
      <c r="X93" s="4"/>
      <c r="Y93" s="4"/>
      <c r="Z93" s="4"/>
      <c r="AA93" s="4"/>
    </row>
    <row r="94" spans="1:27" ht="62.25" customHeight="1" x14ac:dyDescent="0.15">
      <c r="A94" s="10"/>
      <c r="B94" s="14" t="s">
        <v>3380</v>
      </c>
      <c r="C94" s="14" t="s">
        <v>3381</v>
      </c>
      <c r="D94" s="14" t="s">
        <v>3382</v>
      </c>
      <c r="E94" s="14" t="s">
        <v>3383</v>
      </c>
      <c r="F94" s="14" t="s">
        <v>3179</v>
      </c>
      <c r="G94" s="14"/>
      <c r="H94" s="14" t="s">
        <v>3384</v>
      </c>
      <c r="I94" s="4"/>
      <c r="J94" s="4"/>
      <c r="K94" s="4"/>
      <c r="L94" s="4"/>
      <c r="M94" s="4"/>
      <c r="N94" s="4"/>
      <c r="O94" s="4"/>
      <c r="P94" s="4"/>
      <c r="Q94" s="4"/>
      <c r="R94" s="4"/>
      <c r="S94" s="4"/>
      <c r="T94" s="4"/>
      <c r="U94" s="4"/>
      <c r="V94" s="4"/>
      <c r="W94" s="4"/>
      <c r="X94" s="4"/>
      <c r="Y94" s="4"/>
      <c r="Z94" s="4"/>
      <c r="AA94" s="4"/>
    </row>
    <row r="95" spans="1:27" ht="62.25" customHeight="1" x14ac:dyDescent="0.15">
      <c r="A95" s="10"/>
      <c r="B95" s="14" t="s">
        <v>3385</v>
      </c>
      <c r="C95" s="14" t="s">
        <v>3386</v>
      </c>
      <c r="D95" s="15" t="s">
        <v>3387</v>
      </c>
      <c r="E95" s="14"/>
      <c r="F95" s="14" t="s">
        <v>3184</v>
      </c>
      <c r="G95" s="14"/>
      <c r="H95" s="14" t="s">
        <v>3388</v>
      </c>
      <c r="I95" s="4"/>
      <c r="J95" s="4"/>
      <c r="K95" s="4"/>
      <c r="L95" s="4"/>
      <c r="M95" s="4"/>
      <c r="N95" s="4"/>
      <c r="O95" s="4"/>
      <c r="P95" s="4"/>
      <c r="Q95" s="4"/>
      <c r="R95" s="4"/>
      <c r="S95" s="4"/>
      <c r="T95" s="4"/>
      <c r="U95" s="4"/>
      <c r="V95" s="4"/>
      <c r="W95" s="4"/>
      <c r="X95" s="4"/>
      <c r="Y95" s="4"/>
      <c r="Z95" s="4"/>
      <c r="AA95" s="4"/>
    </row>
    <row r="96" spans="1:27" ht="62.25" customHeight="1" x14ac:dyDescent="0.15">
      <c r="A96" s="10"/>
      <c r="B96" s="14" t="s">
        <v>3389</v>
      </c>
      <c r="C96" s="14" t="s">
        <v>3390</v>
      </c>
      <c r="D96" s="15" t="s">
        <v>3391</v>
      </c>
      <c r="E96" s="14"/>
      <c r="F96" s="14" t="s">
        <v>3184</v>
      </c>
      <c r="G96" s="14" t="s">
        <v>3392</v>
      </c>
      <c r="H96" s="14" t="s">
        <v>3393</v>
      </c>
      <c r="I96" s="4"/>
      <c r="J96" s="4"/>
      <c r="K96" s="4"/>
      <c r="L96" s="4"/>
      <c r="M96" s="4"/>
      <c r="N96" s="4"/>
      <c r="O96" s="4"/>
      <c r="P96" s="4"/>
      <c r="Q96" s="4"/>
      <c r="R96" s="4"/>
      <c r="S96" s="4"/>
      <c r="T96" s="4"/>
      <c r="U96" s="4"/>
      <c r="V96" s="4"/>
      <c r="W96" s="4"/>
      <c r="X96" s="4"/>
      <c r="Y96" s="4"/>
      <c r="Z96" s="4"/>
      <c r="AA96" s="4"/>
    </row>
    <row r="97" spans="1:27" ht="62.25" customHeight="1" x14ac:dyDescent="0.15">
      <c r="A97" s="10"/>
      <c r="B97" s="14" t="s">
        <v>3394</v>
      </c>
      <c r="C97" s="15" t="s">
        <v>3395</v>
      </c>
      <c r="D97" s="14"/>
      <c r="E97" s="14"/>
      <c r="F97" s="14"/>
      <c r="G97" s="14"/>
      <c r="H97" s="14" t="s">
        <v>3396</v>
      </c>
      <c r="I97" s="4"/>
      <c r="J97" s="4"/>
      <c r="K97" s="4"/>
      <c r="L97" s="4"/>
      <c r="M97" s="4"/>
      <c r="N97" s="4"/>
      <c r="O97" s="4"/>
      <c r="P97" s="4"/>
      <c r="Q97" s="4"/>
      <c r="R97" s="4"/>
      <c r="S97" s="4"/>
      <c r="T97" s="4"/>
      <c r="U97" s="4"/>
      <c r="V97" s="4"/>
      <c r="W97" s="4"/>
      <c r="X97" s="4"/>
      <c r="Y97" s="4"/>
      <c r="Z97" s="4"/>
      <c r="AA97" s="4"/>
    </row>
    <row r="98" spans="1:27" ht="62.25" customHeight="1" x14ac:dyDescent="0.15">
      <c r="A98" s="10"/>
      <c r="B98" s="14" t="s">
        <v>3397</v>
      </c>
      <c r="C98" s="14" t="s">
        <v>3398</v>
      </c>
      <c r="D98" s="15" t="s">
        <v>3399</v>
      </c>
      <c r="E98" s="14"/>
      <c r="F98" s="14" t="s">
        <v>3179</v>
      </c>
      <c r="G98" s="14"/>
      <c r="H98" s="14" t="s">
        <v>3400</v>
      </c>
      <c r="I98" s="4"/>
      <c r="J98" s="4"/>
      <c r="K98" s="4"/>
      <c r="L98" s="4"/>
      <c r="M98" s="4"/>
      <c r="N98" s="4"/>
      <c r="O98" s="4"/>
      <c r="P98" s="4"/>
      <c r="Q98" s="4"/>
      <c r="R98" s="4"/>
      <c r="S98" s="4"/>
      <c r="T98" s="4"/>
      <c r="U98" s="4"/>
      <c r="V98" s="4"/>
      <c r="W98" s="4"/>
      <c r="X98" s="4"/>
      <c r="Y98" s="4"/>
      <c r="Z98" s="4"/>
      <c r="AA98" s="4"/>
    </row>
    <row r="99" spans="1:27" ht="62.25" customHeight="1" x14ac:dyDescent="0.15">
      <c r="A99" s="18"/>
      <c r="B99" s="15" t="s">
        <v>3401</v>
      </c>
      <c r="C99" s="14"/>
      <c r="D99" s="14"/>
      <c r="E99" s="14"/>
      <c r="F99" s="14"/>
      <c r="G99" s="14"/>
      <c r="H99" s="14" t="s">
        <v>3402</v>
      </c>
      <c r="I99" s="4"/>
      <c r="J99" s="4"/>
      <c r="K99" s="4"/>
      <c r="L99" s="4"/>
      <c r="M99" s="4"/>
      <c r="N99" s="4"/>
      <c r="O99" s="4"/>
      <c r="P99" s="4"/>
      <c r="Q99" s="4"/>
      <c r="R99" s="4"/>
      <c r="S99" s="4"/>
      <c r="T99" s="4"/>
      <c r="U99" s="4"/>
      <c r="V99" s="4"/>
      <c r="W99" s="4"/>
      <c r="X99" s="4"/>
      <c r="Y99" s="4"/>
      <c r="Z99" s="4"/>
      <c r="AA99" s="4"/>
    </row>
    <row r="100" spans="1:27" ht="62.25" customHeight="1" x14ac:dyDescent="0.15">
      <c r="A100" s="10"/>
      <c r="B100" s="14"/>
      <c r="C100" s="14"/>
      <c r="D100" s="14"/>
      <c r="E100" s="14"/>
      <c r="F100" s="14"/>
      <c r="G100" s="14" t="s">
        <v>3403</v>
      </c>
      <c r="H100" s="14" t="s">
        <v>3404</v>
      </c>
      <c r="I100" s="4"/>
      <c r="J100" s="4"/>
      <c r="K100" s="4"/>
      <c r="L100" s="4"/>
      <c r="M100" s="4"/>
      <c r="N100" s="4"/>
      <c r="O100" s="4"/>
      <c r="P100" s="4"/>
      <c r="Q100" s="4"/>
      <c r="R100" s="4"/>
      <c r="S100" s="4"/>
      <c r="T100" s="4"/>
      <c r="U100" s="4"/>
      <c r="V100" s="4"/>
      <c r="W100" s="4"/>
      <c r="X100" s="4"/>
      <c r="Y100" s="4"/>
      <c r="Z100" s="4"/>
      <c r="AA100" s="4"/>
    </row>
    <row r="101" spans="1:27" ht="62.25" customHeight="1" x14ac:dyDescent="0.15">
      <c r="A101" s="10"/>
      <c r="B101" s="14"/>
      <c r="C101" s="14"/>
      <c r="D101" s="14"/>
      <c r="E101" s="14"/>
      <c r="F101" s="14"/>
      <c r="G101" s="14" t="s">
        <v>3405</v>
      </c>
      <c r="H101" s="14" t="s">
        <v>3406</v>
      </c>
      <c r="I101" s="4"/>
      <c r="J101" s="4"/>
      <c r="K101" s="4"/>
      <c r="L101" s="4"/>
      <c r="M101" s="4"/>
      <c r="N101" s="4"/>
      <c r="O101" s="4"/>
      <c r="P101" s="4"/>
      <c r="Q101" s="4"/>
      <c r="R101" s="4"/>
      <c r="S101" s="4"/>
      <c r="T101" s="4"/>
      <c r="U101" s="4"/>
      <c r="V101" s="4"/>
      <c r="W101" s="4"/>
      <c r="X101" s="4"/>
      <c r="Y101" s="4"/>
      <c r="Z101" s="4"/>
      <c r="AA101" s="4"/>
    </row>
    <row r="102" spans="1:27" ht="62.25" customHeight="1" x14ac:dyDescent="0.15">
      <c r="A102" s="10"/>
      <c r="B102" s="14"/>
      <c r="C102" s="14"/>
      <c r="D102" s="14"/>
      <c r="E102" s="14"/>
      <c r="F102" s="14"/>
      <c r="G102" s="14" t="s">
        <v>3407</v>
      </c>
      <c r="H102" s="14" t="s">
        <v>3408</v>
      </c>
      <c r="I102" s="4"/>
      <c r="J102" s="4"/>
      <c r="K102" s="4"/>
      <c r="L102" s="4"/>
      <c r="M102" s="4"/>
      <c r="N102" s="4"/>
      <c r="O102" s="4"/>
      <c r="P102" s="4"/>
      <c r="Q102" s="4"/>
      <c r="R102" s="4"/>
      <c r="S102" s="4"/>
      <c r="T102" s="4"/>
      <c r="U102" s="4"/>
      <c r="V102" s="4"/>
      <c r="W102" s="4"/>
      <c r="X102" s="4"/>
      <c r="Y102" s="4"/>
      <c r="Z102" s="4"/>
      <c r="AA102" s="4"/>
    </row>
    <row r="103" spans="1:27" ht="62.25" customHeight="1" x14ac:dyDescent="0.15">
      <c r="A103" s="21"/>
      <c r="B103" s="16" t="s">
        <v>3409</v>
      </c>
      <c r="C103" s="14"/>
      <c r="D103" s="14"/>
      <c r="E103" s="14"/>
      <c r="F103" s="14"/>
      <c r="G103" s="14"/>
      <c r="H103" s="14" t="s">
        <v>3410</v>
      </c>
      <c r="I103" s="4"/>
      <c r="J103" s="4"/>
      <c r="K103" s="4"/>
      <c r="L103" s="4"/>
      <c r="M103" s="4"/>
      <c r="N103" s="4"/>
      <c r="O103" s="4"/>
      <c r="P103" s="4"/>
      <c r="Q103" s="4"/>
      <c r="R103" s="4"/>
      <c r="S103" s="4"/>
      <c r="T103" s="4"/>
      <c r="U103" s="4"/>
      <c r="V103" s="4"/>
      <c r="W103" s="4"/>
      <c r="X103" s="4"/>
      <c r="Y103" s="4"/>
      <c r="Z103" s="4"/>
      <c r="AA103" s="4"/>
    </row>
    <row r="104" spans="1:27" ht="62.25" customHeight="1" x14ac:dyDescent="0.15">
      <c r="A104" s="10"/>
      <c r="B104" s="14"/>
      <c r="C104" s="15" t="s">
        <v>3411</v>
      </c>
      <c r="D104" s="14"/>
      <c r="E104" s="14"/>
      <c r="F104" s="14"/>
      <c r="G104" s="14" t="s">
        <v>3412</v>
      </c>
      <c r="H104" s="14" t="s">
        <v>3413</v>
      </c>
      <c r="I104" s="4"/>
      <c r="J104" s="4"/>
      <c r="K104" s="4"/>
      <c r="L104" s="4"/>
      <c r="M104" s="4"/>
      <c r="N104" s="4"/>
      <c r="O104" s="4"/>
      <c r="P104" s="4"/>
      <c r="Q104" s="4"/>
      <c r="R104" s="4"/>
      <c r="S104" s="4"/>
      <c r="T104" s="4"/>
      <c r="U104" s="4"/>
      <c r="V104" s="4"/>
      <c r="W104" s="4"/>
      <c r="X104" s="4"/>
      <c r="Y104" s="4"/>
      <c r="Z104" s="4"/>
      <c r="AA104" s="4"/>
    </row>
    <row r="105" spans="1:27" ht="62.25" customHeight="1" x14ac:dyDescent="0.15">
      <c r="A105" s="10"/>
      <c r="B105" s="14" t="s">
        <v>3414</v>
      </c>
      <c r="C105" s="14" t="s">
        <v>3415</v>
      </c>
      <c r="D105" s="14" t="s">
        <v>3416</v>
      </c>
      <c r="E105" s="14" t="s">
        <v>3417</v>
      </c>
      <c r="F105" s="14" t="s">
        <v>3179</v>
      </c>
      <c r="G105" s="14"/>
      <c r="H105" s="14" t="s">
        <v>3418</v>
      </c>
      <c r="I105" s="4"/>
      <c r="J105" s="4"/>
      <c r="K105" s="4"/>
      <c r="L105" s="4"/>
      <c r="M105" s="4"/>
      <c r="N105" s="4"/>
      <c r="O105" s="4"/>
      <c r="P105" s="4"/>
      <c r="Q105" s="4"/>
      <c r="R105" s="4"/>
      <c r="S105" s="4"/>
      <c r="T105" s="4"/>
      <c r="U105" s="4"/>
      <c r="V105" s="4"/>
      <c r="W105" s="4"/>
      <c r="X105" s="4"/>
      <c r="Y105" s="4"/>
      <c r="Z105" s="4"/>
      <c r="AA105" s="4"/>
    </row>
    <row r="106" spans="1:27" ht="62.25" customHeight="1" x14ac:dyDescent="0.15">
      <c r="A106" s="10"/>
      <c r="B106" s="14" t="s">
        <v>3419</v>
      </c>
      <c r="C106" s="14" t="s">
        <v>3420</v>
      </c>
      <c r="D106" s="15" t="s">
        <v>3421</v>
      </c>
      <c r="E106" s="14"/>
      <c r="F106" s="14"/>
      <c r="G106" s="14"/>
      <c r="H106" s="14" t="s">
        <v>3422</v>
      </c>
      <c r="I106" s="4"/>
      <c r="J106" s="4"/>
      <c r="K106" s="4"/>
      <c r="L106" s="4"/>
      <c r="M106" s="4"/>
      <c r="N106" s="4"/>
      <c r="O106" s="4"/>
      <c r="P106" s="4"/>
      <c r="Q106" s="4"/>
      <c r="R106" s="4"/>
      <c r="S106" s="4"/>
      <c r="T106" s="4"/>
      <c r="U106" s="4"/>
      <c r="V106" s="4"/>
      <c r="W106" s="4"/>
      <c r="X106" s="4"/>
      <c r="Y106" s="4"/>
      <c r="Z106" s="4"/>
      <c r="AA106" s="4"/>
    </row>
    <row r="107" spans="1:27" ht="62.25" customHeight="1" x14ac:dyDescent="0.15">
      <c r="A107" s="21"/>
      <c r="B107" s="16" t="s">
        <v>3423</v>
      </c>
      <c r="C107" s="14"/>
      <c r="D107" s="14"/>
      <c r="E107" s="14" t="s">
        <v>3424</v>
      </c>
      <c r="F107" s="14" t="s">
        <v>3184</v>
      </c>
      <c r="G107" s="14"/>
      <c r="H107" s="14" t="s">
        <v>3425</v>
      </c>
      <c r="I107" s="4"/>
      <c r="J107" s="4"/>
      <c r="K107" s="4"/>
      <c r="L107" s="4"/>
      <c r="M107" s="4"/>
      <c r="N107" s="4"/>
      <c r="O107" s="4"/>
      <c r="P107" s="4"/>
      <c r="Q107" s="4"/>
      <c r="R107" s="4"/>
      <c r="S107" s="4"/>
      <c r="T107" s="4"/>
      <c r="U107" s="4"/>
      <c r="V107" s="4"/>
      <c r="W107" s="4"/>
      <c r="X107" s="4"/>
      <c r="Y107" s="4"/>
      <c r="Z107" s="4"/>
      <c r="AA107" s="4"/>
    </row>
    <row r="108" spans="1:27" ht="62.25" customHeight="1" x14ac:dyDescent="0.15">
      <c r="A108" s="10"/>
      <c r="B108" s="14"/>
      <c r="C108" s="14"/>
      <c r="D108" s="14"/>
      <c r="E108" s="14"/>
      <c r="F108" s="14"/>
      <c r="G108" s="14" t="s">
        <v>3426</v>
      </c>
      <c r="H108" s="14" t="s">
        <v>3427</v>
      </c>
      <c r="I108" s="4"/>
      <c r="J108" s="4"/>
      <c r="K108" s="4"/>
      <c r="L108" s="4"/>
      <c r="M108" s="4"/>
      <c r="N108" s="4"/>
      <c r="O108" s="4"/>
      <c r="P108" s="4"/>
      <c r="Q108" s="4"/>
      <c r="R108" s="4"/>
      <c r="S108" s="4"/>
      <c r="T108" s="4"/>
      <c r="U108" s="4"/>
      <c r="V108" s="4"/>
      <c r="W108" s="4"/>
      <c r="X108" s="4"/>
      <c r="Y108" s="4"/>
      <c r="Z108" s="4"/>
      <c r="AA108" s="4"/>
    </row>
    <row r="109" spans="1:27" ht="62.25" customHeight="1" x14ac:dyDescent="0.15">
      <c r="A109" s="10"/>
      <c r="B109" s="14" t="s">
        <v>3428</v>
      </c>
      <c r="C109" s="14" t="s">
        <v>3429</v>
      </c>
      <c r="D109" s="14" t="s">
        <v>3430</v>
      </c>
      <c r="E109" s="14" t="s">
        <v>3431</v>
      </c>
      <c r="F109" s="14" t="s">
        <v>3184</v>
      </c>
      <c r="G109" s="14"/>
      <c r="H109" s="14" t="s">
        <v>3432</v>
      </c>
      <c r="I109" s="4"/>
      <c r="J109" s="4"/>
      <c r="K109" s="4"/>
      <c r="L109" s="4"/>
      <c r="M109" s="4"/>
      <c r="N109" s="4"/>
      <c r="O109" s="4"/>
      <c r="P109" s="4"/>
      <c r="Q109" s="4"/>
      <c r="R109" s="4"/>
      <c r="S109" s="4"/>
      <c r="T109" s="4"/>
      <c r="U109" s="4"/>
      <c r="V109" s="4"/>
      <c r="W109" s="4"/>
      <c r="X109" s="4"/>
      <c r="Y109" s="4"/>
      <c r="Z109" s="4"/>
      <c r="AA109" s="4"/>
    </row>
    <row r="110" spans="1:27" ht="62.25" customHeight="1" x14ac:dyDescent="0.15">
      <c r="A110" s="10"/>
      <c r="B110" s="14" t="s">
        <v>3433</v>
      </c>
      <c r="C110" s="14" t="s">
        <v>3434</v>
      </c>
      <c r="D110" s="15" t="s">
        <v>3435</v>
      </c>
      <c r="E110" s="14"/>
      <c r="F110" s="14" t="s">
        <v>3184</v>
      </c>
      <c r="G110" s="14"/>
      <c r="H110" s="14" t="s">
        <v>3436</v>
      </c>
      <c r="I110" s="4"/>
      <c r="J110" s="4"/>
      <c r="K110" s="4"/>
      <c r="L110" s="4"/>
      <c r="M110" s="4"/>
      <c r="N110" s="4"/>
      <c r="O110" s="4"/>
      <c r="P110" s="4"/>
      <c r="Q110" s="4"/>
      <c r="R110" s="4"/>
      <c r="S110" s="4"/>
      <c r="T110" s="4"/>
      <c r="U110" s="4"/>
      <c r="V110" s="4"/>
      <c r="W110" s="4"/>
      <c r="X110" s="4"/>
      <c r="Y110" s="4"/>
      <c r="Z110" s="4"/>
      <c r="AA110" s="4"/>
    </row>
    <row r="111" spans="1:27" ht="62.25" customHeight="1" x14ac:dyDescent="0.15">
      <c r="A111" s="10"/>
      <c r="B111" s="14"/>
      <c r="C111" s="14"/>
      <c r="D111" s="14"/>
      <c r="E111" s="14"/>
      <c r="F111" s="14"/>
      <c r="G111" s="14" t="s">
        <v>3437</v>
      </c>
      <c r="H111" s="14" t="s">
        <v>3438</v>
      </c>
      <c r="I111" s="4"/>
      <c r="J111" s="4"/>
      <c r="K111" s="4"/>
      <c r="L111" s="4"/>
      <c r="M111" s="4"/>
      <c r="N111" s="4"/>
      <c r="O111" s="4"/>
      <c r="P111" s="4"/>
      <c r="Q111" s="4"/>
      <c r="R111" s="4"/>
      <c r="S111" s="4"/>
      <c r="T111" s="4"/>
      <c r="U111" s="4"/>
      <c r="V111" s="4"/>
      <c r="W111" s="4"/>
      <c r="X111" s="4"/>
      <c r="Y111" s="4"/>
      <c r="Z111" s="4"/>
      <c r="AA111" s="4"/>
    </row>
    <row r="112" spans="1:27" ht="62.25" customHeight="1" x14ac:dyDescent="0.15">
      <c r="A112" s="10"/>
      <c r="B112" s="14"/>
      <c r="C112" s="14"/>
      <c r="D112" s="14"/>
      <c r="E112" s="14"/>
      <c r="F112" s="14"/>
      <c r="G112" s="14" t="s">
        <v>3439</v>
      </c>
      <c r="H112" s="14" t="s">
        <v>3194</v>
      </c>
      <c r="I112" s="4"/>
      <c r="J112" s="4"/>
      <c r="K112" s="4"/>
      <c r="L112" s="4"/>
      <c r="M112" s="4"/>
      <c r="N112" s="4"/>
      <c r="O112" s="4"/>
      <c r="P112" s="4"/>
      <c r="Q112" s="4"/>
      <c r="R112" s="4"/>
      <c r="S112" s="4"/>
      <c r="T112" s="4"/>
      <c r="U112" s="4"/>
      <c r="V112" s="4"/>
      <c r="W112" s="4"/>
      <c r="X112" s="4"/>
      <c r="Y112" s="4"/>
      <c r="Z112" s="4"/>
      <c r="AA112" s="4"/>
    </row>
    <row r="113" spans="1:27" ht="62.25" customHeight="1" x14ac:dyDescent="0.15">
      <c r="A113" s="10"/>
      <c r="B113" s="14" t="s">
        <v>3440</v>
      </c>
      <c r="C113" s="14" t="s">
        <v>3441</v>
      </c>
      <c r="D113" s="15" t="s">
        <v>3442</v>
      </c>
      <c r="E113" s="14"/>
      <c r="F113" s="14"/>
      <c r="G113" s="14"/>
      <c r="H113" s="14" t="s">
        <v>3443</v>
      </c>
      <c r="I113" s="4"/>
      <c r="J113" s="4"/>
      <c r="K113" s="4"/>
      <c r="L113" s="4"/>
      <c r="M113" s="4"/>
      <c r="N113" s="4"/>
      <c r="O113" s="4"/>
      <c r="P113" s="4"/>
      <c r="Q113" s="4"/>
      <c r="R113" s="4"/>
      <c r="S113" s="4"/>
      <c r="T113" s="4"/>
      <c r="U113" s="4"/>
      <c r="V113" s="4"/>
      <c r="W113" s="4"/>
      <c r="X113" s="4"/>
      <c r="Y113" s="4"/>
      <c r="Z113" s="4"/>
      <c r="AA113" s="4"/>
    </row>
    <row r="114" spans="1:27" ht="62.25" customHeight="1" x14ac:dyDescent="0.15">
      <c r="A114" s="18"/>
      <c r="B114" s="15" t="s">
        <v>3444</v>
      </c>
      <c r="C114" s="14"/>
      <c r="D114" s="14"/>
      <c r="E114" s="14"/>
      <c r="F114" s="14"/>
      <c r="G114" s="14"/>
      <c r="H114" s="14" t="s">
        <v>3445</v>
      </c>
      <c r="I114" s="4"/>
      <c r="J114" s="4"/>
      <c r="K114" s="4"/>
      <c r="L114" s="4"/>
      <c r="M114" s="4"/>
      <c r="N114" s="4"/>
      <c r="O114" s="4"/>
      <c r="P114" s="4"/>
      <c r="Q114" s="4"/>
      <c r="R114" s="4"/>
      <c r="S114" s="4"/>
      <c r="T114" s="4"/>
      <c r="U114" s="4"/>
      <c r="V114" s="4"/>
      <c r="W114" s="4"/>
      <c r="X114" s="4"/>
      <c r="Y114" s="4"/>
      <c r="Z114" s="4"/>
      <c r="AA114" s="4"/>
    </row>
    <row r="115" spans="1:27" ht="62.25" customHeight="1" x14ac:dyDescent="0.15">
      <c r="A115" s="18"/>
      <c r="B115" s="15" t="s">
        <v>3446</v>
      </c>
      <c r="C115" s="14"/>
      <c r="D115" s="14"/>
      <c r="E115" s="14"/>
      <c r="F115" s="14"/>
      <c r="G115" s="14"/>
      <c r="H115" s="14" t="s">
        <v>3447</v>
      </c>
      <c r="I115" s="4"/>
      <c r="J115" s="4"/>
      <c r="K115" s="4"/>
      <c r="L115" s="4"/>
      <c r="M115" s="4"/>
      <c r="N115" s="4"/>
      <c r="O115" s="4"/>
      <c r="P115" s="4"/>
      <c r="Q115" s="4"/>
      <c r="R115" s="4"/>
      <c r="S115" s="4"/>
      <c r="T115" s="4"/>
      <c r="U115" s="4"/>
      <c r="V115" s="4"/>
      <c r="W115" s="4"/>
      <c r="X115" s="4"/>
      <c r="Y115" s="4"/>
      <c r="Z115" s="4"/>
      <c r="AA115" s="4"/>
    </row>
    <row r="116" spans="1:27" ht="62.25" customHeight="1" x14ac:dyDescent="0.15">
      <c r="A116" s="10"/>
      <c r="B116" s="14" t="s">
        <v>3448</v>
      </c>
      <c r="C116" s="14" t="s">
        <v>3449</v>
      </c>
      <c r="D116" s="15" t="s">
        <v>3450</v>
      </c>
      <c r="E116" s="14"/>
      <c r="F116" s="14" t="s">
        <v>3179</v>
      </c>
      <c r="G116" s="14"/>
      <c r="H116" s="14" t="s">
        <v>3451</v>
      </c>
      <c r="I116" s="4"/>
      <c r="J116" s="4"/>
      <c r="K116" s="4"/>
      <c r="L116" s="4"/>
      <c r="M116" s="4"/>
      <c r="N116" s="4"/>
      <c r="O116" s="4"/>
      <c r="P116" s="4"/>
      <c r="Q116" s="4"/>
      <c r="R116" s="4"/>
      <c r="S116" s="4"/>
      <c r="T116" s="4"/>
      <c r="U116" s="4"/>
      <c r="V116" s="4"/>
      <c r="W116" s="4"/>
      <c r="X116" s="4"/>
      <c r="Y116" s="4"/>
      <c r="Z116" s="4"/>
      <c r="AA116" s="4"/>
    </row>
    <row r="117" spans="1:27" ht="62.25" customHeight="1" x14ac:dyDescent="0.15">
      <c r="A117" s="10"/>
      <c r="B117" s="14" t="s">
        <v>3452</v>
      </c>
      <c r="C117" s="14" t="s">
        <v>3453</v>
      </c>
      <c r="D117" s="15" t="s">
        <v>3454</v>
      </c>
      <c r="E117" s="14"/>
      <c r="F117" s="14" t="s">
        <v>3184</v>
      </c>
      <c r="G117" s="14"/>
      <c r="H117" s="14" t="s">
        <v>3455</v>
      </c>
      <c r="I117" s="4"/>
      <c r="J117" s="4"/>
      <c r="K117" s="4"/>
      <c r="L117" s="4"/>
      <c r="M117" s="4"/>
      <c r="N117" s="4"/>
      <c r="O117" s="4"/>
      <c r="P117" s="4"/>
      <c r="Q117" s="4"/>
      <c r="R117" s="4"/>
      <c r="S117" s="4"/>
      <c r="T117" s="4"/>
      <c r="U117" s="4"/>
      <c r="V117" s="4"/>
      <c r="W117" s="4"/>
      <c r="X117" s="4"/>
      <c r="Y117" s="4"/>
      <c r="Z117" s="4"/>
      <c r="AA117" s="4"/>
    </row>
    <row r="118" spans="1:27" ht="62.25" customHeight="1" x14ac:dyDescent="0.15">
      <c r="A118" s="22"/>
      <c r="B118" s="17" t="s">
        <v>3456</v>
      </c>
      <c r="C118" s="14"/>
      <c r="D118" s="14"/>
      <c r="E118" s="14"/>
      <c r="F118" s="14"/>
      <c r="G118" s="14"/>
      <c r="H118" s="14" t="s">
        <v>3457</v>
      </c>
      <c r="I118" s="4"/>
      <c r="J118" s="4"/>
      <c r="K118" s="4"/>
      <c r="L118" s="4"/>
      <c r="M118" s="4"/>
      <c r="N118" s="4"/>
      <c r="O118" s="4"/>
      <c r="P118" s="4"/>
      <c r="Q118" s="4"/>
      <c r="R118" s="4"/>
      <c r="S118" s="4"/>
      <c r="T118" s="4"/>
      <c r="U118" s="4"/>
      <c r="V118" s="4"/>
      <c r="W118" s="4"/>
      <c r="X118" s="4"/>
      <c r="Y118" s="4"/>
      <c r="Z118" s="4"/>
      <c r="AA118" s="4"/>
    </row>
    <row r="119" spans="1:27" ht="62.25" customHeight="1" x14ac:dyDescent="0.15">
      <c r="A119" s="21"/>
      <c r="B119" s="16" t="s">
        <v>3458</v>
      </c>
      <c r="C119" s="14"/>
      <c r="D119" s="14"/>
      <c r="E119" s="14"/>
      <c r="F119" s="14"/>
      <c r="G119" s="14"/>
      <c r="H119" s="14" t="s">
        <v>3459</v>
      </c>
      <c r="I119" s="4"/>
      <c r="J119" s="4"/>
      <c r="K119" s="4"/>
      <c r="L119" s="4"/>
      <c r="M119" s="4"/>
      <c r="N119" s="4"/>
      <c r="O119" s="4"/>
      <c r="P119" s="4"/>
      <c r="Q119" s="4"/>
      <c r="R119" s="4"/>
      <c r="S119" s="4"/>
      <c r="T119" s="4"/>
      <c r="U119" s="4"/>
      <c r="V119" s="4"/>
      <c r="W119" s="4"/>
      <c r="X119" s="4"/>
      <c r="Y119" s="4"/>
      <c r="Z119" s="4"/>
      <c r="AA119" s="4"/>
    </row>
    <row r="120" spans="1:27" ht="62.25" customHeight="1" x14ac:dyDescent="0.15">
      <c r="A120" s="10"/>
      <c r="B120" s="14" t="s">
        <v>3460</v>
      </c>
      <c r="C120" s="14" t="s">
        <v>3461</v>
      </c>
      <c r="D120" s="15" t="s">
        <v>3462</v>
      </c>
      <c r="E120" s="14"/>
      <c r="F120" s="14" t="s">
        <v>3179</v>
      </c>
      <c r="G120" s="14"/>
      <c r="H120" s="14" t="s">
        <v>3463</v>
      </c>
      <c r="I120" s="4"/>
      <c r="J120" s="4"/>
      <c r="K120" s="4"/>
      <c r="L120" s="4"/>
      <c r="M120" s="4"/>
      <c r="N120" s="4"/>
      <c r="O120" s="4"/>
      <c r="P120" s="4"/>
      <c r="Q120" s="4"/>
      <c r="R120" s="4"/>
      <c r="S120" s="4"/>
      <c r="T120" s="4"/>
      <c r="U120" s="4"/>
      <c r="V120" s="4"/>
      <c r="W120" s="4"/>
      <c r="X120" s="4"/>
      <c r="Y120" s="4"/>
      <c r="Z120" s="4"/>
      <c r="AA120" s="4"/>
    </row>
    <row r="121" spans="1:27" ht="62.25" customHeight="1" x14ac:dyDescent="0.15">
      <c r="A121" s="10"/>
      <c r="B121" s="14" t="s">
        <v>3464</v>
      </c>
      <c r="C121" s="15" t="s">
        <v>3465</v>
      </c>
      <c r="D121" s="14"/>
      <c r="E121" s="14"/>
      <c r="F121" s="14"/>
      <c r="G121" s="14" t="s">
        <v>3466</v>
      </c>
      <c r="H121" s="14" t="s">
        <v>3467</v>
      </c>
      <c r="I121" s="4"/>
      <c r="J121" s="4"/>
      <c r="K121" s="4"/>
      <c r="L121" s="4"/>
      <c r="M121" s="4"/>
      <c r="N121" s="4"/>
      <c r="O121" s="4"/>
      <c r="P121" s="4"/>
      <c r="Q121" s="4"/>
      <c r="R121" s="4"/>
      <c r="S121" s="4"/>
      <c r="T121" s="4"/>
      <c r="U121" s="4"/>
      <c r="V121" s="4"/>
      <c r="W121" s="4"/>
      <c r="X121" s="4"/>
      <c r="Y121" s="4"/>
      <c r="Z121" s="4"/>
      <c r="AA121" s="4"/>
    </row>
    <row r="122" spans="1:27" ht="62.25" customHeight="1" x14ac:dyDescent="0.15">
      <c r="A122" s="10"/>
      <c r="B122" s="14"/>
      <c r="C122" s="14"/>
      <c r="D122" s="14"/>
      <c r="E122" s="14"/>
      <c r="F122" s="14"/>
      <c r="G122" s="14" t="s">
        <v>3468</v>
      </c>
      <c r="H122" s="14" t="s">
        <v>3469</v>
      </c>
      <c r="I122" s="4"/>
      <c r="J122" s="4"/>
      <c r="K122" s="4"/>
      <c r="L122" s="4"/>
      <c r="M122" s="4"/>
      <c r="N122" s="4"/>
      <c r="O122" s="4"/>
      <c r="P122" s="4"/>
      <c r="Q122" s="4"/>
      <c r="R122" s="4"/>
      <c r="S122" s="4"/>
      <c r="T122" s="4"/>
      <c r="U122" s="4"/>
      <c r="V122" s="4"/>
      <c r="W122" s="4"/>
      <c r="X122" s="4"/>
      <c r="Y122" s="4"/>
      <c r="Z122" s="4"/>
      <c r="AA122" s="4"/>
    </row>
    <row r="123" spans="1:27" ht="62.25" customHeight="1" x14ac:dyDescent="0.15">
      <c r="A123" s="10"/>
      <c r="B123" s="14" t="s">
        <v>3470</v>
      </c>
      <c r="C123" s="14" t="s">
        <v>3471</v>
      </c>
      <c r="D123" s="15" t="s">
        <v>3472</v>
      </c>
      <c r="E123" s="14"/>
      <c r="F123" s="14" t="s">
        <v>3184</v>
      </c>
      <c r="G123" s="14"/>
      <c r="H123" s="14" t="s">
        <v>3473</v>
      </c>
      <c r="I123" s="4"/>
      <c r="J123" s="4"/>
      <c r="K123" s="4"/>
      <c r="L123" s="4"/>
      <c r="M123" s="4"/>
      <c r="N123" s="4"/>
      <c r="O123" s="4"/>
      <c r="P123" s="4"/>
      <c r="Q123" s="4"/>
      <c r="R123" s="4"/>
      <c r="S123" s="4"/>
      <c r="T123" s="4"/>
      <c r="U123" s="4"/>
      <c r="V123" s="4"/>
      <c r="W123" s="4"/>
      <c r="X123" s="4"/>
      <c r="Y123" s="4"/>
      <c r="Z123" s="4"/>
      <c r="AA123" s="4"/>
    </row>
    <row r="124" spans="1:27" ht="62.25" customHeight="1" x14ac:dyDescent="0.15">
      <c r="A124" s="18"/>
      <c r="B124" s="15" t="s">
        <v>3474</v>
      </c>
      <c r="C124" s="14"/>
      <c r="D124" s="15" t="s">
        <v>3475</v>
      </c>
      <c r="E124" s="14"/>
      <c r="F124" s="14"/>
      <c r="G124" s="14"/>
      <c r="H124" s="14" t="s">
        <v>3476</v>
      </c>
      <c r="I124" s="4"/>
      <c r="J124" s="4"/>
      <c r="K124" s="4"/>
      <c r="L124" s="4"/>
      <c r="M124" s="4"/>
      <c r="N124" s="4"/>
      <c r="O124" s="4"/>
      <c r="P124" s="4"/>
      <c r="Q124" s="4"/>
      <c r="R124" s="4"/>
      <c r="S124" s="4"/>
      <c r="T124" s="4"/>
      <c r="U124" s="4"/>
      <c r="V124" s="4"/>
      <c r="W124" s="4"/>
      <c r="X124" s="4"/>
      <c r="Y124" s="4"/>
      <c r="Z124" s="4"/>
      <c r="AA124" s="4"/>
    </row>
    <row r="125" spans="1:27" ht="62.25" customHeight="1" x14ac:dyDescent="0.15">
      <c r="A125" s="10"/>
      <c r="B125" s="14" t="s">
        <v>3477</v>
      </c>
      <c r="C125" s="14" t="s">
        <v>3478</v>
      </c>
      <c r="D125" s="14" t="s">
        <v>3479</v>
      </c>
      <c r="E125" s="14" t="s">
        <v>3480</v>
      </c>
      <c r="F125" s="14" t="s">
        <v>3179</v>
      </c>
      <c r="G125" s="14"/>
      <c r="H125" s="14" t="s">
        <v>3481</v>
      </c>
      <c r="I125" s="4"/>
      <c r="J125" s="4"/>
      <c r="K125" s="4"/>
      <c r="L125" s="4"/>
      <c r="M125" s="4"/>
      <c r="N125" s="4"/>
      <c r="O125" s="4"/>
      <c r="P125" s="4"/>
      <c r="Q125" s="4"/>
      <c r="R125" s="4"/>
      <c r="S125" s="4"/>
      <c r="T125" s="4"/>
      <c r="U125" s="4"/>
      <c r="V125" s="4"/>
      <c r="W125" s="4"/>
      <c r="X125" s="4"/>
      <c r="Y125" s="4"/>
      <c r="Z125" s="4"/>
      <c r="AA125" s="4"/>
    </row>
    <row r="126" spans="1:27" ht="62.25" customHeight="1" x14ac:dyDescent="0.15">
      <c r="A126" s="10"/>
      <c r="B126" s="14" t="s">
        <v>3482</v>
      </c>
      <c r="C126" s="14" t="s">
        <v>3483</v>
      </c>
      <c r="D126" s="15" t="s">
        <v>3484</v>
      </c>
      <c r="E126" s="14"/>
      <c r="F126" s="14"/>
      <c r="G126" s="14"/>
      <c r="H126" s="14" t="s">
        <v>3485</v>
      </c>
      <c r="I126" s="4"/>
      <c r="J126" s="4"/>
      <c r="K126" s="4"/>
      <c r="L126" s="4"/>
      <c r="M126" s="4"/>
      <c r="N126" s="4"/>
      <c r="O126" s="4"/>
      <c r="P126" s="4"/>
      <c r="Q126" s="4"/>
      <c r="R126" s="4"/>
      <c r="S126" s="4"/>
      <c r="T126" s="4"/>
      <c r="U126" s="4"/>
      <c r="V126" s="4"/>
      <c r="W126" s="4"/>
      <c r="X126" s="4"/>
      <c r="Y126" s="4"/>
      <c r="Z126" s="4"/>
      <c r="AA126" s="4"/>
    </row>
    <row r="127" spans="1:27" ht="62.25" customHeight="1" x14ac:dyDescent="0.15">
      <c r="A127" s="10"/>
      <c r="B127" s="14" t="s">
        <v>3486</v>
      </c>
      <c r="C127" s="14" t="s">
        <v>3487</v>
      </c>
      <c r="D127" s="14" t="s">
        <v>3488</v>
      </c>
      <c r="E127" s="14" t="s">
        <v>3489</v>
      </c>
      <c r="F127" s="14" t="s">
        <v>3179</v>
      </c>
      <c r="G127" s="14"/>
      <c r="H127" s="14" t="s">
        <v>3490</v>
      </c>
      <c r="I127" s="4"/>
      <c r="J127" s="4"/>
      <c r="K127" s="4"/>
      <c r="L127" s="4"/>
      <c r="M127" s="4"/>
      <c r="N127" s="4"/>
      <c r="O127" s="4"/>
      <c r="P127" s="4"/>
      <c r="Q127" s="4"/>
      <c r="R127" s="4"/>
      <c r="S127" s="4"/>
      <c r="T127" s="4"/>
      <c r="U127" s="4"/>
      <c r="V127" s="4"/>
      <c r="W127" s="4"/>
      <c r="X127" s="4"/>
      <c r="Y127" s="4"/>
      <c r="Z127" s="4"/>
      <c r="AA127" s="4"/>
    </row>
    <row r="128" spans="1:27" ht="62.25" customHeight="1" x14ac:dyDescent="0.15">
      <c r="A128" s="10"/>
      <c r="B128" s="14"/>
      <c r="C128" s="14"/>
      <c r="D128" s="14"/>
      <c r="E128" s="14"/>
      <c r="F128" s="14"/>
      <c r="G128" s="14" t="s">
        <v>3491</v>
      </c>
      <c r="H128" s="14" t="s">
        <v>3492</v>
      </c>
      <c r="I128" s="4"/>
      <c r="J128" s="4"/>
      <c r="K128" s="4"/>
      <c r="L128" s="4"/>
      <c r="M128" s="4"/>
      <c r="N128" s="4"/>
      <c r="O128" s="4"/>
      <c r="P128" s="4"/>
      <c r="Q128" s="4"/>
      <c r="R128" s="4"/>
      <c r="S128" s="4"/>
      <c r="T128" s="4"/>
      <c r="U128" s="4"/>
      <c r="V128" s="4"/>
      <c r="W128" s="4"/>
      <c r="X128" s="4"/>
      <c r="Y128" s="4"/>
      <c r="Z128" s="4"/>
      <c r="AA128" s="4"/>
    </row>
    <row r="129" spans="1:27" ht="62.25" customHeight="1" x14ac:dyDescent="0.15">
      <c r="A129" s="10"/>
      <c r="B129" s="14"/>
      <c r="C129" s="14"/>
      <c r="D129" s="14"/>
      <c r="E129" s="14"/>
      <c r="F129" s="14"/>
      <c r="G129" s="14" t="s">
        <v>3493</v>
      </c>
      <c r="H129" s="14" t="s">
        <v>3494</v>
      </c>
      <c r="I129" s="4"/>
      <c r="J129" s="4"/>
      <c r="K129" s="4"/>
      <c r="L129" s="4"/>
      <c r="M129" s="4"/>
      <c r="N129" s="4"/>
      <c r="O129" s="4"/>
      <c r="P129" s="4"/>
      <c r="Q129" s="4"/>
      <c r="R129" s="4"/>
      <c r="S129" s="4"/>
      <c r="T129" s="4"/>
      <c r="U129" s="4"/>
      <c r="V129" s="4"/>
      <c r="W129" s="4"/>
      <c r="X129" s="4"/>
      <c r="Y129" s="4"/>
      <c r="Z129" s="4"/>
      <c r="AA129" s="4"/>
    </row>
    <row r="130" spans="1:27" ht="62.25" customHeight="1" x14ac:dyDescent="0.15">
      <c r="A130" s="18"/>
      <c r="B130" s="15" t="s">
        <v>3495</v>
      </c>
      <c r="C130" s="14"/>
      <c r="D130" s="14"/>
      <c r="E130" s="14"/>
      <c r="F130" s="14"/>
      <c r="G130" s="14"/>
      <c r="H130" s="14" t="s">
        <v>3496</v>
      </c>
      <c r="I130" s="4"/>
      <c r="J130" s="4"/>
      <c r="K130" s="4"/>
      <c r="L130" s="4"/>
      <c r="M130" s="4"/>
      <c r="N130" s="4"/>
      <c r="O130" s="4"/>
      <c r="P130" s="4"/>
      <c r="Q130" s="4"/>
      <c r="R130" s="4"/>
      <c r="S130" s="4"/>
      <c r="T130" s="4"/>
      <c r="U130" s="4"/>
      <c r="V130" s="4"/>
      <c r="W130" s="4"/>
      <c r="X130" s="4"/>
      <c r="Y130" s="4"/>
      <c r="Z130" s="4"/>
      <c r="AA130" s="4"/>
    </row>
    <row r="131" spans="1:27" ht="62.25" customHeight="1" x14ac:dyDescent="0.15">
      <c r="A131" s="18"/>
      <c r="B131" s="15" t="s">
        <v>3497</v>
      </c>
      <c r="C131" s="14"/>
      <c r="D131" s="14"/>
      <c r="E131" s="14"/>
      <c r="F131" s="14"/>
      <c r="G131" s="14"/>
      <c r="H131" s="14" t="s">
        <v>3498</v>
      </c>
      <c r="I131" s="4"/>
      <c r="J131" s="4"/>
      <c r="K131" s="4"/>
      <c r="L131" s="4"/>
      <c r="M131" s="4"/>
      <c r="N131" s="4"/>
      <c r="O131" s="4"/>
      <c r="P131" s="4"/>
      <c r="Q131" s="4"/>
      <c r="R131" s="4"/>
      <c r="S131" s="4"/>
      <c r="T131" s="4"/>
      <c r="U131" s="4"/>
      <c r="V131" s="4"/>
      <c r="W131" s="4"/>
      <c r="X131" s="4"/>
      <c r="Y131" s="4"/>
      <c r="Z131" s="4"/>
      <c r="AA131" s="4"/>
    </row>
    <row r="132" spans="1:27" ht="62.25" customHeight="1" x14ac:dyDescent="0.15">
      <c r="A132" s="10"/>
      <c r="B132" s="14" t="s">
        <v>3499</v>
      </c>
      <c r="C132" s="14" t="s">
        <v>3500</v>
      </c>
      <c r="D132" s="14" t="s">
        <v>3501</v>
      </c>
      <c r="E132" s="14"/>
      <c r="F132" s="14" t="s">
        <v>3179</v>
      </c>
      <c r="G132" s="14"/>
      <c r="H132" s="14" t="s">
        <v>3502</v>
      </c>
      <c r="I132" s="4"/>
      <c r="J132" s="4"/>
      <c r="K132" s="4"/>
      <c r="L132" s="4"/>
      <c r="M132" s="4"/>
      <c r="N132" s="4"/>
      <c r="O132" s="4"/>
      <c r="P132" s="4"/>
      <c r="Q132" s="4"/>
      <c r="R132" s="4"/>
      <c r="S132" s="4"/>
      <c r="T132" s="4"/>
      <c r="U132" s="4"/>
      <c r="V132" s="4"/>
      <c r="W132" s="4"/>
      <c r="X132" s="4"/>
      <c r="Y132" s="4"/>
      <c r="Z132" s="4"/>
      <c r="AA132" s="4"/>
    </row>
    <row r="133" spans="1:27" ht="62.25" customHeight="1" x14ac:dyDescent="0.15">
      <c r="A133" s="10"/>
      <c r="B133" s="19"/>
      <c r="C133" s="20" t="s">
        <v>3503</v>
      </c>
      <c r="D133" s="19"/>
      <c r="E133" s="19"/>
      <c r="F133" s="19"/>
      <c r="G133" s="19"/>
      <c r="H133" s="19" t="s">
        <v>3504</v>
      </c>
      <c r="I133" s="4"/>
      <c r="J133" s="4"/>
      <c r="K133" s="4"/>
      <c r="L133" s="4"/>
      <c r="M133" s="4"/>
      <c r="N133" s="4"/>
      <c r="O133" s="4"/>
      <c r="P133" s="4"/>
      <c r="Q133" s="4"/>
      <c r="R133" s="4"/>
      <c r="S133" s="4"/>
      <c r="T133" s="4"/>
      <c r="U133" s="4"/>
      <c r="V133" s="4"/>
      <c r="W133" s="4"/>
      <c r="X133" s="4"/>
      <c r="Y133" s="4"/>
      <c r="Z133" s="4"/>
      <c r="AA133" s="4"/>
    </row>
    <row r="134" spans="1:27" ht="62.25" customHeight="1" x14ac:dyDescent="0.15">
      <c r="A134" s="10"/>
      <c r="B134" s="14" t="s">
        <v>3505</v>
      </c>
      <c r="C134" s="14" t="s">
        <v>3506</v>
      </c>
      <c r="D134" s="14" t="s">
        <v>3507</v>
      </c>
      <c r="E134" s="14" t="s">
        <v>3508</v>
      </c>
      <c r="F134" s="14" t="s">
        <v>3184</v>
      </c>
      <c r="G134" s="14"/>
      <c r="H134" s="14" t="s">
        <v>3222</v>
      </c>
      <c r="I134" s="4"/>
      <c r="J134" s="4"/>
      <c r="K134" s="4"/>
      <c r="L134" s="4"/>
      <c r="M134" s="4"/>
      <c r="N134" s="4"/>
      <c r="O134" s="4"/>
      <c r="P134" s="4"/>
      <c r="Q134" s="4"/>
      <c r="R134" s="4"/>
      <c r="S134" s="4"/>
      <c r="T134" s="4"/>
      <c r="U134" s="4"/>
      <c r="V134" s="4"/>
      <c r="W134" s="4"/>
      <c r="X134" s="4"/>
      <c r="Y134" s="4"/>
      <c r="Z134" s="4"/>
      <c r="AA134" s="4"/>
    </row>
    <row r="135" spans="1:27" ht="62.25" customHeight="1" x14ac:dyDescent="0.15">
      <c r="A135" s="10"/>
      <c r="B135" s="14"/>
      <c r="C135" s="14"/>
      <c r="D135" s="14"/>
      <c r="E135" s="14"/>
      <c r="F135" s="14"/>
      <c r="G135" s="14" t="s">
        <v>3509</v>
      </c>
      <c r="H135" s="14" t="s">
        <v>3510</v>
      </c>
      <c r="I135" s="4"/>
      <c r="J135" s="4"/>
      <c r="K135" s="4"/>
      <c r="L135" s="4"/>
      <c r="M135" s="4"/>
      <c r="N135" s="4"/>
      <c r="O135" s="4"/>
      <c r="P135" s="4"/>
      <c r="Q135" s="4"/>
      <c r="R135" s="4"/>
      <c r="S135" s="4"/>
      <c r="T135" s="4"/>
      <c r="U135" s="4"/>
      <c r="V135" s="4"/>
      <c r="W135" s="4"/>
      <c r="X135" s="4"/>
      <c r="Y135" s="4"/>
      <c r="Z135" s="4"/>
      <c r="AA135" s="4"/>
    </row>
    <row r="136" spans="1:27" ht="62.25" customHeight="1" x14ac:dyDescent="0.15">
      <c r="A136" s="10"/>
      <c r="B136" s="14"/>
      <c r="C136" s="14"/>
      <c r="D136" s="14"/>
      <c r="E136" s="14"/>
      <c r="F136" s="14"/>
      <c r="G136" s="14" t="s">
        <v>3511</v>
      </c>
      <c r="H136" s="14" t="s">
        <v>3512</v>
      </c>
      <c r="I136" s="4"/>
      <c r="J136" s="4"/>
      <c r="K136" s="4"/>
      <c r="L136" s="4"/>
      <c r="M136" s="4"/>
      <c r="N136" s="4"/>
      <c r="O136" s="4"/>
      <c r="P136" s="4"/>
      <c r="Q136" s="4"/>
      <c r="R136" s="4"/>
      <c r="S136" s="4"/>
      <c r="T136" s="4"/>
      <c r="U136" s="4"/>
      <c r="V136" s="4"/>
      <c r="W136" s="4"/>
      <c r="X136" s="4"/>
      <c r="Y136" s="4"/>
      <c r="Z136" s="4"/>
      <c r="AA136" s="4"/>
    </row>
    <row r="137" spans="1:27" ht="62.25" customHeight="1" x14ac:dyDescent="0.15">
      <c r="A137" s="10"/>
      <c r="B137" s="14"/>
      <c r="C137" s="15" t="s">
        <v>3513</v>
      </c>
      <c r="D137" s="14"/>
      <c r="E137" s="14"/>
      <c r="F137" s="14" t="s">
        <v>3184</v>
      </c>
      <c r="G137" s="14"/>
      <c r="H137" s="14" t="s">
        <v>3514</v>
      </c>
      <c r="I137" s="4"/>
      <c r="J137" s="4"/>
      <c r="K137" s="4"/>
      <c r="L137" s="4"/>
      <c r="M137" s="4"/>
      <c r="N137" s="4"/>
      <c r="O137" s="4"/>
      <c r="P137" s="4"/>
      <c r="Q137" s="4"/>
      <c r="R137" s="4"/>
      <c r="S137" s="4"/>
      <c r="T137" s="4"/>
      <c r="U137" s="4"/>
      <c r="V137" s="4"/>
      <c r="W137" s="4"/>
      <c r="X137" s="4"/>
      <c r="Y137" s="4"/>
      <c r="Z137" s="4"/>
      <c r="AA137" s="4"/>
    </row>
    <row r="138" spans="1:27" ht="62.25" customHeight="1" x14ac:dyDescent="0.15">
      <c r="A138" s="10"/>
      <c r="B138" s="14"/>
      <c r="C138" s="14"/>
      <c r="D138" s="14"/>
      <c r="E138" s="14"/>
      <c r="F138" s="14"/>
      <c r="G138" s="14" t="s">
        <v>3515</v>
      </c>
      <c r="H138" s="14" t="s">
        <v>3516</v>
      </c>
      <c r="I138" s="4"/>
      <c r="J138" s="4"/>
      <c r="K138" s="4"/>
      <c r="L138" s="4"/>
      <c r="M138" s="4"/>
      <c r="N138" s="4"/>
      <c r="O138" s="4"/>
      <c r="P138" s="4"/>
      <c r="Q138" s="4"/>
      <c r="R138" s="4"/>
      <c r="S138" s="4"/>
      <c r="T138" s="4"/>
      <c r="U138" s="4"/>
      <c r="V138" s="4"/>
      <c r="W138" s="4"/>
      <c r="X138" s="4"/>
      <c r="Y138" s="4"/>
      <c r="Z138" s="4"/>
      <c r="AA138" s="4"/>
    </row>
    <row r="139" spans="1:27" ht="62.25" customHeight="1" x14ac:dyDescent="0.15">
      <c r="A139" s="10"/>
      <c r="B139" s="14" t="s">
        <v>3517</v>
      </c>
      <c r="C139" s="14" t="s">
        <v>3518</v>
      </c>
      <c r="D139" s="16" t="s">
        <v>3519</v>
      </c>
      <c r="E139" s="14"/>
      <c r="F139" s="14" t="s">
        <v>3179</v>
      </c>
      <c r="G139" s="14"/>
      <c r="H139" s="14" t="s">
        <v>3520</v>
      </c>
      <c r="I139" s="4"/>
      <c r="J139" s="4"/>
      <c r="K139" s="4"/>
      <c r="L139" s="4"/>
      <c r="M139" s="4"/>
      <c r="N139" s="4"/>
      <c r="O139" s="4"/>
      <c r="P139" s="4"/>
      <c r="Q139" s="4"/>
      <c r="R139" s="4"/>
      <c r="S139" s="4"/>
      <c r="T139" s="4"/>
      <c r="U139" s="4"/>
      <c r="V139" s="4"/>
      <c r="W139" s="4"/>
      <c r="X139" s="4"/>
      <c r="Y139" s="4"/>
      <c r="Z139" s="4"/>
      <c r="AA139" s="4"/>
    </row>
    <row r="140" spans="1:27" ht="62.25" customHeight="1" x14ac:dyDescent="0.15">
      <c r="A140" s="10"/>
      <c r="B140" s="14" t="s">
        <v>3521</v>
      </c>
      <c r="C140" s="14" t="s">
        <v>3522</v>
      </c>
      <c r="D140" s="14" t="s">
        <v>3523</v>
      </c>
      <c r="E140" s="15" t="s">
        <v>3524</v>
      </c>
      <c r="F140" s="14"/>
      <c r="G140" s="14"/>
      <c r="H140" s="14" t="s">
        <v>3525</v>
      </c>
      <c r="I140" s="4"/>
      <c r="J140" s="4"/>
      <c r="K140" s="4"/>
      <c r="L140" s="4"/>
      <c r="M140" s="4"/>
      <c r="N140" s="4"/>
      <c r="O140" s="4"/>
      <c r="P140" s="4"/>
      <c r="Q140" s="4"/>
      <c r="R140" s="4"/>
      <c r="S140" s="4"/>
      <c r="T140" s="4"/>
      <c r="U140" s="4"/>
      <c r="V140" s="4"/>
      <c r="W140" s="4"/>
      <c r="X140" s="4"/>
      <c r="Y140" s="4"/>
      <c r="Z140" s="4"/>
      <c r="AA140" s="4"/>
    </row>
    <row r="141" spans="1:27" ht="62.25" customHeight="1" x14ac:dyDescent="0.15">
      <c r="A141" s="10"/>
      <c r="B141" s="14"/>
      <c r="C141" s="14"/>
      <c r="D141" s="14"/>
      <c r="E141" s="14"/>
      <c r="F141" s="14"/>
      <c r="G141" s="14" t="s">
        <v>3526</v>
      </c>
      <c r="H141" s="14" t="s">
        <v>3527</v>
      </c>
      <c r="I141" s="4"/>
      <c r="J141" s="4"/>
      <c r="K141" s="4"/>
      <c r="L141" s="4"/>
      <c r="M141" s="4"/>
      <c r="N141" s="4"/>
      <c r="O141" s="4"/>
      <c r="P141" s="4"/>
      <c r="Q141" s="4"/>
      <c r="R141" s="4"/>
      <c r="S141" s="4"/>
      <c r="T141" s="4"/>
      <c r="U141" s="4"/>
      <c r="V141" s="4"/>
      <c r="W141" s="4"/>
      <c r="X141" s="4"/>
      <c r="Y141" s="4"/>
      <c r="Z141" s="4"/>
      <c r="AA141" s="4"/>
    </row>
    <row r="142" spans="1:27" ht="62.25" customHeight="1" x14ac:dyDescent="0.15">
      <c r="A142" s="10"/>
      <c r="B142" s="14"/>
      <c r="C142" s="14"/>
      <c r="D142" s="14"/>
      <c r="E142" s="14"/>
      <c r="F142" s="14"/>
      <c r="G142" s="14" t="s">
        <v>3528</v>
      </c>
      <c r="H142" s="14" t="s">
        <v>3504</v>
      </c>
      <c r="I142" s="4"/>
      <c r="J142" s="4"/>
      <c r="K142" s="4"/>
      <c r="L142" s="4"/>
      <c r="M142" s="4"/>
      <c r="N142" s="4"/>
      <c r="O142" s="4"/>
      <c r="P142" s="4"/>
      <c r="Q142" s="4"/>
      <c r="R142" s="4"/>
      <c r="S142" s="4"/>
      <c r="T142" s="4"/>
      <c r="U142" s="4"/>
      <c r="V142" s="4"/>
      <c r="W142" s="4"/>
      <c r="X142" s="4"/>
      <c r="Y142" s="4"/>
      <c r="Z142" s="4"/>
      <c r="AA142" s="4"/>
    </row>
    <row r="143" spans="1:27" ht="62.25" customHeight="1" x14ac:dyDescent="0.15">
      <c r="A143" s="10"/>
      <c r="B143" s="14"/>
      <c r="C143" s="14"/>
      <c r="D143" s="14"/>
      <c r="E143" s="14"/>
      <c r="F143" s="14"/>
      <c r="G143" s="14" t="s">
        <v>3529</v>
      </c>
      <c r="H143" s="14" t="s">
        <v>3530</v>
      </c>
      <c r="I143" s="4"/>
      <c r="J143" s="4"/>
      <c r="K143" s="4"/>
      <c r="L143" s="4"/>
      <c r="M143" s="4"/>
      <c r="N143" s="4"/>
      <c r="O143" s="4"/>
      <c r="P143" s="4"/>
      <c r="Q143" s="4"/>
      <c r="R143" s="4"/>
      <c r="S143" s="4"/>
      <c r="T143" s="4"/>
      <c r="U143" s="4"/>
      <c r="V143" s="4"/>
      <c r="W143" s="4"/>
      <c r="X143" s="4"/>
      <c r="Y143" s="4"/>
      <c r="Z143" s="4"/>
      <c r="AA143" s="4"/>
    </row>
    <row r="144" spans="1:27" ht="62.25" customHeight="1" x14ac:dyDescent="0.15">
      <c r="A144" s="10"/>
      <c r="B144" s="14"/>
      <c r="C144" s="14"/>
      <c r="D144" s="14"/>
      <c r="E144" s="14"/>
      <c r="F144" s="14"/>
      <c r="G144" s="14" t="s">
        <v>3531</v>
      </c>
      <c r="H144" s="14" t="s">
        <v>3532</v>
      </c>
      <c r="I144" s="4"/>
      <c r="J144" s="4"/>
      <c r="K144" s="4"/>
      <c r="L144" s="4"/>
      <c r="M144" s="4"/>
      <c r="N144" s="4"/>
      <c r="O144" s="4"/>
      <c r="P144" s="4"/>
      <c r="Q144" s="4"/>
      <c r="R144" s="4"/>
      <c r="S144" s="4"/>
      <c r="T144" s="4"/>
      <c r="U144" s="4"/>
      <c r="V144" s="4"/>
      <c r="W144" s="4"/>
      <c r="X144" s="4"/>
      <c r="Y144" s="4"/>
      <c r="Z144" s="4"/>
      <c r="AA144" s="4"/>
    </row>
    <row r="145" spans="1:27" ht="62.25" customHeight="1" x14ac:dyDescent="0.15">
      <c r="A145" s="10"/>
      <c r="B145" s="14" t="s">
        <v>3533</v>
      </c>
      <c r="C145" s="14" t="s">
        <v>3534</v>
      </c>
      <c r="D145" s="15" t="s">
        <v>3535</v>
      </c>
      <c r="E145" s="14"/>
      <c r="F145" s="14" t="s">
        <v>3179</v>
      </c>
      <c r="G145" s="14"/>
      <c r="H145" s="14" t="s">
        <v>3536</v>
      </c>
      <c r="I145" s="4"/>
      <c r="J145" s="4"/>
      <c r="K145" s="4"/>
      <c r="L145" s="4"/>
      <c r="M145" s="4"/>
      <c r="N145" s="4"/>
      <c r="O145" s="4"/>
      <c r="P145" s="4"/>
      <c r="Q145" s="4"/>
      <c r="R145" s="4"/>
      <c r="S145" s="4"/>
      <c r="T145" s="4"/>
      <c r="U145" s="4"/>
      <c r="V145" s="4"/>
      <c r="W145" s="4"/>
      <c r="X145" s="4"/>
      <c r="Y145" s="4"/>
      <c r="Z145" s="4"/>
      <c r="AA145" s="4"/>
    </row>
    <row r="146" spans="1:27" ht="62.25" customHeight="1" x14ac:dyDescent="0.15">
      <c r="A146" s="18"/>
      <c r="B146" s="15" t="s">
        <v>3537</v>
      </c>
      <c r="C146" s="14"/>
      <c r="D146" s="14"/>
      <c r="E146" s="15" t="s">
        <v>3538</v>
      </c>
      <c r="F146" s="14"/>
      <c r="G146" s="14"/>
      <c r="H146" s="14" t="s">
        <v>3539</v>
      </c>
      <c r="I146" s="4"/>
      <c r="J146" s="4"/>
      <c r="K146" s="4"/>
      <c r="L146" s="4"/>
      <c r="M146" s="4"/>
      <c r="N146" s="4"/>
      <c r="O146" s="4"/>
      <c r="P146" s="4"/>
      <c r="Q146" s="4"/>
      <c r="R146" s="4"/>
      <c r="S146" s="4"/>
      <c r="T146" s="4"/>
      <c r="U146" s="4"/>
      <c r="V146" s="4"/>
      <c r="W146" s="4"/>
      <c r="X146" s="4"/>
      <c r="Y146" s="4"/>
      <c r="Z146" s="4"/>
      <c r="AA146" s="4"/>
    </row>
    <row r="147" spans="1:27" ht="62.25" customHeight="1" x14ac:dyDescent="0.15">
      <c r="A147" s="10"/>
      <c r="B147" s="14" t="s">
        <v>3540</v>
      </c>
      <c r="C147" s="14" t="s">
        <v>3541</v>
      </c>
      <c r="D147" s="15" t="s">
        <v>3542</v>
      </c>
      <c r="E147" s="14"/>
      <c r="F147" s="14"/>
      <c r="G147" s="14"/>
      <c r="H147" s="14" t="s">
        <v>3543</v>
      </c>
      <c r="I147" s="4"/>
      <c r="J147" s="4"/>
      <c r="K147" s="4"/>
      <c r="L147" s="4"/>
      <c r="M147" s="4"/>
      <c r="N147" s="4"/>
      <c r="O147" s="4"/>
      <c r="P147" s="4"/>
      <c r="Q147" s="4"/>
      <c r="R147" s="4"/>
      <c r="S147" s="4"/>
      <c r="T147" s="4"/>
      <c r="U147" s="4"/>
      <c r="V147" s="4"/>
      <c r="W147" s="4"/>
      <c r="X147" s="4"/>
      <c r="Y147" s="4"/>
      <c r="Z147" s="4"/>
      <c r="AA147" s="4"/>
    </row>
    <row r="148" spans="1:27" ht="62.25" customHeight="1" x14ac:dyDescent="0.15">
      <c r="A148" s="10"/>
      <c r="B148" s="14"/>
      <c r="C148" s="14"/>
      <c r="D148" s="14"/>
      <c r="E148" s="14"/>
      <c r="F148" s="14"/>
      <c r="G148" s="14" t="s">
        <v>3544</v>
      </c>
      <c r="H148" s="14" t="s">
        <v>3545</v>
      </c>
      <c r="I148" s="4"/>
      <c r="J148" s="4"/>
      <c r="K148" s="4"/>
      <c r="L148" s="4"/>
      <c r="M148" s="4"/>
      <c r="N148" s="4"/>
      <c r="O148" s="4"/>
      <c r="P148" s="4"/>
      <c r="Q148" s="4"/>
      <c r="R148" s="4"/>
      <c r="S148" s="4"/>
      <c r="T148" s="4"/>
      <c r="U148" s="4"/>
      <c r="V148" s="4"/>
      <c r="W148" s="4"/>
      <c r="X148" s="4"/>
      <c r="Y148" s="4"/>
      <c r="Z148" s="4"/>
      <c r="AA148" s="4"/>
    </row>
    <row r="149" spans="1:27" ht="62.25" customHeight="1" x14ac:dyDescent="0.15">
      <c r="A149" s="10"/>
      <c r="B149" s="14" t="s">
        <v>3546</v>
      </c>
      <c r="C149" s="14" t="s">
        <v>3547</v>
      </c>
      <c r="D149" s="15" t="s">
        <v>3548</v>
      </c>
      <c r="E149" s="14"/>
      <c r="F149" s="14"/>
      <c r="G149" s="14"/>
      <c r="H149" s="14" t="s">
        <v>3549</v>
      </c>
      <c r="I149" s="4"/>
      <c r="J149" s="4"/>
      <c r="K149" s="4"/>
      <c r="L149" s="4"/>
      <c r="M149" s="4"/>
      <c r="N149" s="4"/>
      <c r="O149" s="4"/>
      <c r="P149" s="4"/>
      <c r="Q149" s="4"/>
      <c r="R149" s="4"/>
      <c r="S149" s="4"/>
      <c r="T149" s="4"/>
      <c r="U149" s="4"/>
      <c r="V149" s="4"/>
      <c r="W149" s="4"/>
      <c r="X149" s="4"/>
      <c r="Y149" s="4"/>
      <c r="Z149" s="4"/>
      <c r="AA149" s="4"/>
    </row>
    <row r="150" spans="1:27" ht="62.25" customHeight="1" x14ac:dyDescent="0.15">
      <c r="A150" s="10"/>
      <c r="B150" s="14"/>
      <c r="C150" s="14"/>
      <c r="D150" s="14"/>
      <c r="E150" s="14"/>
      <c r="F150" s="14"/>
      <c r="G150" s="14" t="s">
        <v>3550</v>
      </c>
      <c r="H150" s="14" t="s">
        <v>3551</v>
      </c>
      <c r="I150" s="4"/>
      <c r="J150" s="4"/>
      <c r="K150" s="4"/>
      <c r="L150" s="4"/>
      <c r="M150" s="4"/>
      <c r="N150" s="4"/>
      <c r="O150" s="4"/>
      <c r="P150" s="4"/>
      <c r="Q150" s="4"/>
      <c r="R150" s="4"/>
      <c r="S150" s="4"/>
      <c r="T150" s="4"/>
      <c r="U150" s="4"/>
      <c r="V150" s="4"/>
      <c r="W150" s="4"/>
      <c r="X150" s="4"/>
      <c r="Y150" s="4"/>
      <c r="Z150" s="4"/>
      <c r="AA150" s="4"/>
    </row>
    <row r="151" spans="1:27" ht="62.25" customHeight="1" x14ac:dyDescent="0.15">
      <c r="A151" s="18"/>
      <c r="B151" s="15" t="s">
        <v>3552</v>
      </c>
      <c r="C151" s="14"/>
      <c r="D151" s="15" t="s">
        <v>3553</v>
      </c>
      <c r="E151" s="14"/>
      <c r="F151" s="14"/>
      <c r="G151" s="14"/>
      <c r="H151" s="14" t="s">
        <v>3554</v>
      </c>
      <c r="I151" s="4"/>
      <c r="J151" s="4"/>
      <c r="K151" s="4"/>
      <c r="L151" s="4"/>
      <c r="M151" s="4"/>
      <c r="N151" s="4"/>
      <c r="O151" s="4"/>
      <c r="P151" s="4"/>
      <c r="Q151" s="4"/>
      <c r="R151" s="4"/>
      <c r="S151" s="4"/>
      <c r="T151" s="4"/>
      <c r="U151" s="4"/>
      <c r="V151" s="4"/>
      <c r="W151" s="4"/>
      <c r="X151" s="4"/>
      <c r="Y151" s="4"/>
      <c r="Z151" s="4"/>
      <c r="AA151" s="4"/>
    </row>
    <row r="152" spans="1:27" ht="62.25" customHeight="1" x14ac:dyDescent="0.15">
      <c r="A152" s="10"/>
      <c r="B152" s="14" t="s">
        <v>3555</v>
      </c>
      <c r="C152" s="14" t="s">
        <v>3556</v>
      </c>
      <c r="D152" s="15" t="s">
        <v>3557</v>
      </c>
      <c r="E152" s="14"/>
      <c r="F152" s="14" t="s">
        <v>3179</v>
      </c>
      <c r="G152" s="14"/>
      <c r="H152" s="14" t="s">
        <v>3558</v>
      </c>
      <c r="I152" s="4"/>
      <c r="J152" s="4"/>
      <c r="K152" s="4"/>
      <c r="L152" s="4"/>
      <c r="M152" s="4"/>
      <c r="N152" s="4"/>
      <c r="O152" s="4"/>
      <c r="P152" s="4"/>
      <c r="Q152" s="4"/>
      <c r="R152" s="4"/>
      <c r="S152" s="4"/>
      <c r="T152" s="4"/>
      <c r="U152" s="4"/>
      <c r="V152" s="4"/>
      <c r="W152" s="4"/>
      <c r="X152" s="4"/>
      <c r="Y152" s="4"/>
      <c r="Z152" s="4"/>
      <c r="AA152" s="4"/>
    </row>
    <row r="153" spans="1:27" ht="62.25" customHeight="1" x14ac:dyDescent="0.15">
      <c r="A153" s="22"/>
      <c r="B153" s="17" t="s">
        <v>3559</v>
      </c>
      <c r="C153" s="14"/>
      <c r="D153" s="14"/>
      <c r="E153" s="14"/>
      <c r="F153" s="14"/>
      <c r="G153" s="14"/>
      <c r="H153" s="14" t="s">
        <v>3560</v>
      </c>
      <c r="I153" s="4"/>
      <c r="J153" s="4"/>
      <c r="K153" s="4"/>
      <c r="L153" s="4"/>
      <c r="M153" s="4"/>
      <c r="N153" s="4"/>
      <c r="O153" s="4"/>
      <c r="P153" s="4"/>
      <c r="Q153" s="4"/>
      <c r="R153" s="4"/>
      <c r="S153" s="4"/>
      <c r="T153" s="4"/>
      <c r="U153" s="4"/>
      <c r="V153" s="4"/>
      <c r="W153" s="4"/>
      <c r="X153" s="4"/>
      <c r="Y153" s="4"/>
      <c r="Z153" s="4"/>
      <c r="AA153" s="4"/>
    </row>
    <row r="154" spans="1:27" ht="62.25" customHeight="1" x14ac:dyDescent="0.15">
      <c r="A154" s="10"/>
      <c r="B154" s="14"/>
      <c r="C154" s="14"/>
      <c r="D154" s="14"/>
      <c r="E154" s="14"/>
      <c r="F154" s="14"/>
      <c r="G154" s="14" t="s">
        <v>3561</v>
      </c>
      <c r="H154" s="14" t="s">
        <v>3562</v>
      </c>
      <c r="I154" s="4"/>
      <c r="J154" s="4"/>
      <c r="K154" s="4"/>
      <c r="L154" s="4"/>
      <c r="M154" s="4"/>
      <c r="N154" s="4"/>
      <c r="O154" s="4"/>
      <c r="P154" s="4"/>
      <c r="Q154" s="4"/>
      <c r="R154" s="4"/>
      <c r="S154" s="4"/>
      <c r="T154" s="4"/>
      <c r="U154" s="4"/>
      <c r="V154" s="4"/>
      <c r="W154" s="4"/>
      <c r="X154" s="4"/>
      <c r="Y154" s="4"/>
      <c r="Z154" s="4"/>
      <c r="AA154" s="4"/>
    </row>
    <row r="155" spans="1:27" ht="62.25" customHeight="1" x14ac:dyDescent="0.15">
      <c r="A155" s="22"/>
      <c r="B155" s="17" t="s">
        <v>3563</v>
      </c>
      <c r="C155" s="14"/>
      <c r="D155" s="14"/>
      <c r="E155" s="14"/>
      <c r="F155" s="14"/>
      <c r="G155" s="14"/>
      <c r="H155" s="14" t="s">
        <v>3564</v>
      </c>
      <c r="I155" s="4"/>
      <c r="J155" s="4"/>
      <c r="K155" s="4"/>
      <c r="L155" s="4"/>
      <c r="M155" s="4"/>
      <c r="N155" s="4"/>
      <c r="O155" s="4"/>
      <c r="P155" s="4"/>
      <c r="Q155" s="4"/>
      <c r="R155" s="4"/>
      <c r="S155" s="4"/>
      <c r="T155" s="4"/>
      <c r="U155" s="4"/>
      <c r="V155" s="4"/>
      <c r="W155" s="4"/>
      <c r="X155" s="4"/>
      <c r="Y155" s="4"/>
      <c r="Z155" s="4"/>
      <c r="AA155" s="4"/>
    </row>
    <row r="156" spans="1:27" ht="62.25" customHeight="1" x14ac:dyDescent="0.15">
      <c r="A156" s="10"/>
      <c r="B156" s="14"/>
      <c r="C156" s="14"/>
      <c r="D156" s="14"/>
      <c r="E156" s="14"/>
      <c r="F156" s="14"/>
      <c r="G156" s="14" t="s">
        <v>3565</v>
      </c>
      <c r="H156" s="14" t="s">
        <v>3566</v>
      </c>
      <c r="I156" s="4"/>
      <c r="J156" s="4"/>
      <c r="K156" s="4"/>
      <c r="L156" s="4"/>
      <c r="M156" s="4"/>
      <c r="N156" s="4"/>
      <c r="O156" s="4"/>
      <c r="P156" s="4"/>
      <c r="Q156" s="4"/>
      <c r="R156" s="4"/>
      <c r="S156" s="4"/>
      <c r="T156" s="4"/>
      <c r="U156" s="4"/>
      <c r="V156" s="4"/>
      <c r="W156" s="4"/>
      <c r="X156" s="4"/>
      <c r="Y156" s="4"/>
      <c r="Z156" s="4"/>
      <c r="AA156" s="4"/>
    </row>
    <row r="157" spans="1:27" ht="62.25" customHeight="1" x14ac:dyDescent="0.15">
      <c r="A157" s="22"/>
      <c r="B157" s="17" t="s">
        <v>3567</v>
      </c>
      <c r="C157" s="14"/>
      <c r="D157" s="14"/>
      <c r="E157" s="14"/>
      <c r="F157" s="14"/>
      <c r="G157" s="14"/>
      <c r="H157" s="14" t="s">
        <v>3568</v>
      </c>
      <c r="I157" s="4"/>
      <c r="J157" s="4"/>
      <c r="K157" s="4"/>
      <c r="L157" s="4"/>
      <c r="M157" s="4"/>
      <c r="N157" s="4"/>
      <c r="O157" s="4"/>
      <c r="P157" s="4"/>
      <c r="Q157" s="4"/>
      <c r="R157" s="4"/>
      <c r="S157" s="4"/>
      <c r="T157" s="4"/>
      <c r="U157" s="4"/>
      <c r="V157" s="4"/>
      <c r="W157" s="4"/>
      <c r="X157" s="4"/>
      <c r="Y157" s="4"/>
      <c r="Z157" s="4"/>
      <c r="AA157" s="4"/>
    </row>
    <row r="158" spans="1:27" ht="62.25" customHeight="1" x14ac:dyDescent="0.15">
      <c r="A158" s="22"/>
      <c r="B158" s="17" t="s">
        <v>3569</v>
      </c>
      <c r="C158" s="14"/>
      <c r="D158" s="14"/>
      <c r="E158" s="14"/>
      <c r="F158" s="14"/>
      <c r="G158" s="14"/>
      <c r="H158" s="14" t="s">
        <v>3570</v>
      </c>
      <c r="I158" s="4"/>
      <c r="J158" s="4"/>
      <c r="K158" s="4"/>
      <c r="L158" s="4"/>
      <c r="M158" s="4"/>
      <c r="N158" s="4"/>
      <c r="O158" s="4"/>
      <c r="P158" s="4"/>
      <c r="Q158" s="4"/>
      <c r="R158" s="4"/>
      <c r="S158" s="4"/>
      <c r="T158" s="4"/>
      <c r="U158" s="4"/>
      <c r="V158" s="4"/>
      <c r="W158" s="4"/>
      <c r="X158" s="4"/>
      <c r="Y158" s="4"/>
      <c r="Z158" s="4"/>
      <c r="AA158" s="4"/>
    </row>
    <row r="159" spans="1:27" ht="62.25" customHeight="1" x14ac:dyDescent="0.15">
      <c r="A159" s="10"/>
      <c r="B159" s="14" t="s">
        <v>3571</v>
      </c>
      <c r="C159" s="14" t="s">
        <v>3572</v>
      </c>
      <c r="D159" s="15" t="s">
        <v>3573</v>
      </c>
      <c r="E159" s="14"/>
      <c r="F159" s="14" t="s">
        <v>3184</v>
      </c>
      <c r="G159" s="14"/>
      <c r="H159" s="14" t="s">
        <v>3574</v>
      </c>
      <c r="I159" s="4"/>
      <c r="J159" s="4"/>
      <c r="K159" s="4"/>
      <c r="L159" s="4"/>
      <c r="M159" s="4"/>
      <c r="N159" s="4"/>
      <c r="O159" s="4"/>
      <c r="P159" s="4"/>
      <c r="Q159" s="4"/>
      <c r="R159" s="4"/>
      <c r="S159" s="4"/>
      <c r="T159" s="4"/>
      <c r="U159" s="4"/>
      <c r="V159" s="4"/>
      <c r="W159" s="4"/>
      <c r="X159" s="4"/>
      <c r="Y159" s="4"/>
      <c r="Z159" s="4"/>
      <c r="AA159" s="4"/>
    </row>
    <row r="160" spans="1:27" ht="62.25" customHeight="1" x14ac:dyDescent="0.15">
      <c r="A160" s="10"/>
      <c r="B160" s="14" t="s">
        <v>3575</v>
      </c>
      <c r="C160" s="14" t="s">
        <v>3576</v>
      </c>
      <c r="D160" s="14" t="s">
        <v>3577</v>
      </c>
      <c r="E160" s="15" t="s">
        <v>3578</v>
      </c>
      <c r="F160" s="14"/>
      <c r="G160" s="14"/>
      <c r="H160" s="14" t="s">
        <v>3579</v>
      </c>
      <c r="I160" s="4"/>
      <c r="J160" s="4"/>
      <c r="K160" s="4"/>
      <c r="L160" s="4"/>
      <c r="M160" s="4"/>
      <c r="N160" s="4"/>
      <c r="O160" s="4"/>
      <c r="P160" s="4"/>
      <c r="Q160" s="4"/>
      <c r="R160" s="4"/>
      <c r="S160" s="4"/>
      <c r="T160" s="4"/>
      <c r="U160" s="4"/>
      <c r="V160" s="4"/>
      <c r="W160" s="4"/>
      <c r="X160" s="4"/>
      <c r="Y160" s="4"/>
      <c r="Z160" s="4"/>
      <c r="AA160" s="4"/>
    </row>
    <row r="161" spans="1:27" ht="62.25" customHeight="1" x14ac:dyDescent="0.15">
      <c r="A161" s="10"/>
      <c r="B161" s="14"/>
      <c r="C161" s="14"/>
      <c r="D161" s="14"/>
      <c r="E161" s="14"/>
      <c r="F161" s="14"/>
      <c r="G161" s="14" t="s">
        <v>3580</v>
      </c>
      <c r="H161" s="14" t="s">
        <v>3539</v>
      </c>
      <c r="I161" s="4"/>
      <c r="J161" s="4"/>
      <c r="K161" s="4"/>
      <c r="L161" s="4"/>
      <c r="M161" s="4"/>
      <c r="N161" s="4"/>
      <c r="O161" s="4"/>
      <c r="P161" s="4"/>
      <c r="Q161" s="4"/>
      <c r="R161" s="4"/>
      <c r="S161" s="4"/>
      <c r="T161" s="4"/>
      <c r="U161" s="4"/>
      <c r="V161" s="4"/>
      <c r="W161" s="4"/>
      <c r="X161" s="4"/>
      <c r="Y161" s="4"/>
      <c r="Z161" s="4"/>
      <c r="AA161" s="4"/>
    </row>
    <row r="162" spans="1:27" ht="62.25" customHeight="1" x14ac:dyDescent="0.15">
      <c r="A162" s="10"/>
      <c r="B162" s="14"/>
      <c r="C162" s="14"/>
      <c r="D162" s="14"/>
      <c r="E162" s="14"/>
      <c r="F162" s="14"/>
      <c r="G162" s="14" t="s">
        <v>3581</v>
      </c>
      <c r="H162" s="14" t="s">
        <v>3582</v>
      </c>
      <c r="I162" s="4"/>
      <c r="J162" s="4"/>
      <c r="K162" s="4"/>
      <c r="L162" s="4"/>
      <c r="M162" s="4"/>
      <c r="N162" s="4"/>
      <c r="O162" s="4"/>
      <c r="P162" s="4"/>
      <c r="Q162" s="4"/>
      <c r="R162" s="4"/>
      <c r="S162" s="4"/>
      <c r="T162" s="4"/>
      <c r="U162" s="4"/>
      <c r="V162" s="4"/>
      <c r="W162" s="4"/>
      <c r="X162" s="4"/>
      <c r="Y162" s="4"/>
      <c r="Z162" s="4"/>
      <c r="AA162" s="4"/>
    </row>
    <row r="163" spans="1:27" ht="62.25" customHeight="1" x14ac:dyDescent="0.15">
      <c r="A163" s="10"/>
      <c r="B163" s="19"/>
      <c r="C163" s="19"/>
      <c r="D163" s="19"/>
      <c r="E163" s="19"/>
      <c r="F163" s="19"/>
      <c r="G163" s="19" t="s">
        <v>3583</v>
      </c>
      <c r="H163" s="19" t="s">
        <v>3584</v>
      </c>
      <c r="I163" s="4"/>
      <c r="J163" s="4"/>
      <c r="K163" s="4"/>
      <c r="L163" s="4"/>
      <c r="M163" s="4"/>
      <c r="N163" s="4"/>
      <c r="O163" s="4"/>
      <c r="P163" s="4"/>
      <c r="Q163" s="4"/>
      <c r="R163" s="4"/>
      <c r="S163" s="4"/>
      <c r="T163" s="4"/>
      <c r="U163" s="4"/>
      <c r="V163" s="4"/>
      <c r="W163" s="4"/>
      <c r="X163" s="4"/>
      <c r="Y163" s="4"/>
      <c r="Z163" s="4"/>
      <c r="AA163" s="4"/>
    </row>
    <row r="164" spans="1:27" ht="62.25" customHeight="1" x14ac:dyDescent="0.1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row>
    <row r="165" spans="1:27" ht="62.25" customHeight="1" x14ac:dyDescent="0.1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row>
    <row r="166" spans="1:27" ht="62.25" customHeight="1" x14ac:dyDescent="0.1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row>
    <row r="167" spans="1:27" ht="62.25" customHeight="1" x14ac:dyDescent="0.1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row>
    <row r="168" spans="1:27" ht="62.25" customHeight="1" x14ac:dyDescent="0.1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row>
    <row r="169" spans="1:27" ht="62.25" customHeight="1" x14ac:dyDescent="0.1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row>
    <row r="170" spans="1:27" ht="62.25" customHeight="1" x14ac:dyDescent="0.1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row>
    <row r="171" spans="1:27" ht="62.25" customHeight="1" x14ac:dyDescent="0.1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row>
    <row r="172" spans="1:27" ht="62.25" customHeight="1" x14ac:dyDescent="0.1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row>
    <row r="173" spans="1:27" ht="62.25" customHeight="1" x14ac:dyDescent="0.1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row>
    <row r="174" spans="1:27" ht="62.25" customHeight="1" x14ac:dyDescent="0.1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row>
    <row r="175" spans="1:27" ht="62.25" customHeight="1" x14ac:dyDescent="0.1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row>
    <row r="176" spans="1:27" ht="62.25" customHeight="1" x14ac:dyDescent="0.1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row>
    <row r="177" spans="1:27" ht="62.25" customHeight="1" x14ac:dyDescent="0.1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row>
    <row r="178" spans="1:27" ht="62.25" customHeight="1" x14ac:dyDescent="0.1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row>
    <row r="179" spans="1:27" ht="62.25" customHeight="1" x14ac:dyDescent="0.1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row>
    <row r="180" spans="1:27" ht="62.25" customHeight="1" x14ac:dyDescent="0.1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row>
    <row r="181" spans="1:27" ht="62.25" customHeight="1" x14ac:dyDescent="0.1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row>
    <row r="182" spans="1:27" ht="62.25" customHeight="1" x14ac:dyDescent="0.1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row>
    <row r="183" spans="1:27" ht="62.25" customHeight="1" x14ac:dyDescent="0.1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row>
    <row r="184" spans="1:27" ht="62.25" customHeight="1" x14ac:dyDescent="0.1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row>
    <row r="185" spans="1:27" ht="62.25" customHeight="1" x14ac:dyDescent="0.1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row>
    <row r="186" spans="1:27" ht="62.25" customHeight="1" x14ac:dyDescent="0.1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row>
    <row r="187" spans="1:27" ht="62.25" customHeight="1" x14ac:dyDescent="0.1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row>
    <row r="188" spans="1:27" ht="62.25" customHeight="1" x14ac:dyDescent="0.1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row>
    <row r="189" spans="1:27" ht="62.25" customHeight="1" x14ac:dyDescent="0.1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row>
    <row r="190" spans="1:27" ht="62.25" customHeight="1" x14ac:dyDescent="0.1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row>
    <row r="191" spans="1:27" ht="62.25" customHeight="1" x14ac:dyDescent="0.1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row>
    <row r="192" spans="1:27" ht="62.25" customHeight="1" x14ac:dyDescent="0.1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row>
    <row r="193" spans="1:27" ht="62.25" customHeight="1" x14ac:dyDescent="0.1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row>
    <row r="194" spans="1:27" ht="62.25" customHeight="1" x14ac:dyDescent="0.1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row>
    <row r="195" spans="1:27" ht="62.25" customHeight="1" x14ac:dyDescent="0.1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row>
    <row r="196" spans="1:27" ht="62.25" customHeight="1" x14ac:dyDescent="0.1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row>
    <row r="197" spans="1:27" ht="62.25" customHeight="1" x14ac:dyDescent="0.1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row>
    <row r="198" spans="1:27" ht="62.25" customHeight="1" x14ac:dyDescent="0.1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row>
    <row r="199" spans="1:27" ht="62.25" customHeight="1" x14ac:dyDescent="0.1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row>
    <row r="200" spans="1:27" ht="62.25" customHeight="1" x14ac:dyDescent="0.1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row>
    <row r="201" spans="1:27" ht="62.25" customHeight="1" x14ac:dyDescent="0.1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row>
    <row r="202" spans="1:27" ht="62.25" customHeight="1" x14ac:dyDescent="0.1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row>
    <row r="203" spans="1:27" ht="62.25" customHeight="1" x14ac:dyDescent="0.1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row>
    <row r="204" spans="1:27" ht="62.25" customHeight="1" x14ac:dyDescent="0.1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row>
    <row r="205" spans="1:27" ht="62.25" customHeight="1" x14ac:dyDescent="0.1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row>
    <row r="206" spans="1:27" ht="62.25" customHeight="1" x14ac:dyDescent="0.1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row>
    <row r="207" spans="1:27" ht="62.25" customHeight="1" x14ac:dyDescent="0.1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row>
    <row r="208" spans="1:27" ht="62.25" customHeight="1" x14ac:dyDescent="0.1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row>
    <row r="209" spans="1:27" ht="62.25" customHeight="1" x14ac:dyDescent="0.1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row>
    <row r="210" spans="1:27" ht="62.25" customHeight="1" x14ac:dyDescent="0.1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row>
    <row r="211" spans="1:27" ht="62.25" customHeight="1" x14ac:dyDescent="0.1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row>
    <row r="212" spans="1:27" ht="62.25" customHeight="1" x14ac:dyDescent="0.1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row>
    <row r="213" spans="1:27" ht="62.25" customHeight="1" x14ac:dyDescent="0.1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row>
    <row r="214" spans="1:27" ht="62.25" customHeight="1" x14ac:dyDescent="0.1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row>
    <row r="215" spans="1:27" ht="62.25" customHeight="1" x14ac:dyDescent="0.1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row>
    <row r="216" spans="1:27" ht="62.25" customHeight="1" x14ac:dyDescent="0.1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row>
    <row r="217" spans="1:27" ht="62.25" customHeight="1" x14ac:dyDescent="0.1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row>
    <row r="218" spans="1:27" ht="62.25" customHeight="1" x14ac:dyDescent="0.1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row>
    <row r="219" spans="1:27" ht="62.25" customHeight="1" x14ac:dyDescent="0.1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row>
    <row r="220" spans="1:27" ht="62.25" customHeight="1" x14ac:dyDescent="0.1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row>
    <row r="221" spans="1:27" ht="62.25" customHeight="1" x14ac:dyDescent="0.1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row>
    <row r="222" spans="1:27" ht="62.25" customHeight="1" x14ac:dyDescent="0.1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row>
    <row r="223" spans="1:27" ht="62.25" customHeight="1" x14ac:dyDescent="0.1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row>
    <row r="224" spans="1:27" ht="62.25" customHeight="1" x14ac:dyDescent="0.1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row>
    <row r="225" spans="1:27" ht="62.25" customHeight="1" x14ac:dyDescent="0.1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row>
    <row r="226" spans="1:27" ht="62.25" customHeight="1" x14ac:dyDescent="0.1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row>
    <row r="227" spans="1:27" ht="62.25" customHeight="1" x14ac:dyDescent="0.1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row>
    <row r="228" spans="1:27" ht="62.25" customHeight="1" x14ac:dyDescent="0.1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row>
    <row r="229" spans="1:27" ht="62.25" customHeight="1" x14ac:dyDescent="0.1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row>
    <row r="230" spans="1:27" ht="62.25" customHeight="1" x14ac:dyDescent="0.1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row>
    <row r="231" spans="1:27" ht="62.25" customHeight="1" x14ac:dyDescent="0.1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row>
    <row r="232" spans="1:27" ht="62.25" customHeight="1" x14ac:dyDescent="0.1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row>
    <row r="233" spans="1:27" ht="62.25" customHeight="1" x14ac:dyDescent="0.1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row>
    <row r="234" spans="1:27" ht="62.25" customHeight="1" x14ac:dyDescent="0.1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row>
    <row r="235" spans="1:27" ht="62.25" customHeight="1" x14ac:dyDescent="0.1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row>
    <row r="236" spans="1:27" ht="62.25" customHeight="1" x14ac:dyDescent="0.1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row>
    <row r="237" spans="1:27" ht="62.25" customHeight="1" x14ac:dyDescent="0.1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row>
    <row r="238" spans="1:27" ht="62.25" customHeight="1" x14ac:dyDescent="0.1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row>
    <row r="239" spans="1:27" ht="62.25" customHeight="1" x14ac:dyDescent="0.1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row>
    <row r="240" spans="1:27" ht="62.25" customHeight="1" x14ac:dyDescent="0.1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row>
    <row r="241" spans="1:27" ht="62.25" customHeight="1" x14ac:dyDescent="0.1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row>
    <row r="242" spans="1:27" ht="62.25" customHeight="1" x14ac:dyDescent="0.1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row>
    <row r="243" spans="1:27" ht="62.25" customHeight="1" x14ac:dyDescent="0.1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row>
    <row r="244" spans="1:27" ht="62.25" customHeight="1" x14ac:dyDescent="0.1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row>
    <row r="245" spans="1:27" ht="62.25" customHeight="1" x14ac:dyDescent="0.1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row>
    <row r="246" spans="1:27" ht="62.25" customHeight="1" x14ac:dyDescent="0.1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row>
    <row r="247" spans="1:27" ht="62.25" customHeight="1" x14ac:dyDescent="0.1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row>
    <row r="248" spans="1:27" ht="62.25" customHeight="1" x14ac:dyDescent="0.1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row>
    <row r="249" spans="1:27" ht="62.25" customHeight="1" x14ac:dyDescent="0.1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row>
    <row r="250" spans="1:27" ht="62.25" customHeight="1" x14ac:dyDescent="0.1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row>
    <row r="251" spans="1:27" ht="62.25" customHeight="1" x14ac:dyDescent="0.1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row>
    <row r="252" spans="1:27" ht="62.25" customHeight="1" x14ac:dyDescent="0.1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row>
    <row r="253" spans="1:27" ht="62.25" customHeight="1" x14ac:dyDescent="0.1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row>
    <row r="254" spans="1:27" ht="62.25" customHeight="1" x14ac:dyDescent="0.1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row>
    <row r="255" spans="1:27" ht="62.25" customHeight="1" x14ac:dyDescent="0.1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row>
    <row r="256" spans="1:27" ht="62.25" customHeight="1" x14ac:dyDescent="0.1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row>
    <row r="257" spans="1:27" ht="62.25" customHeight="1" x14ac:dyDescent="0.1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row>
    <row r="258" spans="1:27" ht="62.25" customHeight="1" x14ac:dyDescent="0.1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row>
    <row r="259" spans="1:27" ht="62.25" customHeight="1" x14ac:dyDescent="0.1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row>
    <row r="260" spans="1:27" ht="62.25" customHeight="1" x14ac:dyDescent="0.1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row>
    <row r="261" spans="1:27" ht="62.25" customHeight="1" x14ac:dyDescent="0.1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row>
    <row r="262" spans="1:27" ht="62.25" customHeight="1" x14ac:dyDescent="0.1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row>
    <row r="263" spans="1:27" ht="62.25" customHeight="1" x14ac:dyDescent="0.1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row>
    <row r="264" spans="1:27" ht="62.25" customHeight="1" x14ac:dyDescent="0.1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row>
    <row r="265" spans="1:27" ht="62.25" customHeight="1" x14ac:dyDescent="0.1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row>
    <row r="266" spans="1:27" ht="62.25" customHeight="1" x14ac:dyDescent="0.1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row>
    <row r="267" spans="1:27" ht="62.25" customHeight="1" x14ac:dyDescent="0.1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row>
    <row r="268" spans="1:27" ht="62.25" customHeight="1" x14ac:dyDescent="0.1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row>
    <row r="269" spans="1:27" ht="62.25" customHeight="1" x14ac:dyDescent="0.1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row>
    <row r="270" spans="1:27" ht="62.25" customHeight="1" x14ac:dyDescent="0.1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row>
    <row r="271" spans="1:27" ht="62.25" customHeight="1" x14ac:dyDescent="0.1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row>
    <row r="272" spans="1:27" ht="62.25" customHeight="1" x14ac:dyDescent="0.1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row>
    <row r="273" spans="1:27" ht="62.25" customHeight="1" x14ac:dyDescent="0.1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row>
    <row r="274" spans="1:27" ht="62.25" customHeight="1" x14ac:dyDescent="0.1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row>
    <row r="275" spans="1:27" ht="62.25" customHeight="1" x14ac:dyDescent="0.1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row>
    <row r="276" spans="1:27" ht="62.25" customHeight="1" x14ac:dyDescent="0.1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row>
    <row r="277" spans="1:27" ht="62.25" customHeight="1" x14ac:dyDescent="0.1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row>
    <row r="278" spans="1:27" ht="62.25" customHeight="1" x14ac:dyDescent="0.1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row>
    <row r="279" spans="1:27" ht="62.25" customHeight="1" x14ac:dyDescent="0.1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row>
    <row r="280" spans="1:27" ht="62.25" customHeight="1" x14ac:dyDescent="0.1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row>
    <row r="281" spans="1:27" ht="62.25" customHeight="1" x14ac:dyDescent="0.1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row>
    <row r="282" spans="1:27" ht="62.25" customHeight="1" x14ac:dyDescent="0.1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row>
    <row r="283" spans="1:27" ht="62.25" customHeight="1" x14ac:dyDescent="0.1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row>
    <row r="284" spans="1:27" ht="62.25" customHeight="1" x14ac:dyDescent="0.1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row>
    <row r="285" spans="1:27" ht="62.25" customHeight="1" x14ac:dyDescent="0.1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row>
    <row r="286" spans="1:27" ht="62.25" customHeight="1" x14ac:dyDescent="0.1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row>
    <row r="287" spans="1:27" ht="62.25" customHeight="1" x14ac:dyDescent="0.1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row>
    <row r="288" spans="1:27" ht="62.25" customHeight="1" x14ac:dyDescent="0.1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row>
    <row r="289" spans="1:27" ht="62.25" customHeight="1" x14ac:dyDescent="0.1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row>
    <row r="290" spans="1:27" ht="62.25" customHeight="1" x14ac:dyDescent="0.1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row>
    <row r="291" spans="1:27" ht="62.25" customHeight="1" x14ac:dyDescent="0.1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row>
    <row r="292" spans="1:27" ht="62.25" customHeight="1" x14ac:dyDescent="0.1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row>
    <row r="293" spans="1:27" ht="62.25" customHeight="1" x14ac:dyDescent="0.1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row>
    <row r="294" spans="1:27" ht="62.25" customHeight="1" x14ac:dyDescent="0.1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row>
    <row r="295" spans="1:27" ht="62.25" customHeight="1" x14ac:dyDescent="0.1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row>
    <row r="296" spans="1:27" ht="62.25" customHeight="1" x14ac:dyDescent="0.1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row>
    <row r="297" spans="1:27" ht="62.25" customHeight="1" x14ac:dyDescent="0.1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row>
    <row r="298" spans="1:27" ht="62.25" customHeight="1" x14ac:dyDescent="0.1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row>
    <row r="299" spans="1:27" ht="62.25" customHeight="1" x14ac:dyDescent="0.1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row>
    <row r="300" spans="1:27" ht="62.25" customHeight="1" x14ac:dyDescent="0.1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row>
    <row r="301" spans="1:27" ht="62.25" customHeight="1" x14ac:dyDescent="0.1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row>
    <row r="302" spans="1:27" ht="62.25" customHeight="1" x14ac:dyDescent="0.1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row>
    <row r="303" spans="1:27" ht="62.25" customHeight="1" x14ac:dyDescent="0.1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row>
    <row r="304" spans="1:27" ht="62.25" customHeight="1" x14ac:dyDescent="0.1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row>
    <row r="305" spans="1:27" ht="62.25" customHeight="1" x14ac:dyDescent="0.1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row>
    <row r="306" spans="1:27" ht="62.25" customHeight="1" x14ac:dyDescent="0.1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row>
    <row r="307" spans="1:27" ht="62.25" customHeight="1" x14ac:dyDescent="0.1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row>
    <row r="308" spans="1:27" ht="62.25" customHeight="1" x14ac:dyDescent="0.1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row>
    <row r="309" spans="1:27" ht="62.25" customHeight="1" x14ac:dyDescent="0.1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row>
    <row r="310" spans="1:27" ht="62.25" customHeight="1" x14ac:dyDescent="0.1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row>
    <row r="311" spans="1:27" ht="62.25" customHeight="1" x14ac:dyDescent="0.1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row>
    <row r="312" spans="1:27" ht="62.25" customHeight="1" x14ac:dyDescent="0.1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row>
    <row r="313" spans="1:27" ht="62.25" customHeight="1" x14ac:dyDescent="0.1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row>
    <row r="314" spans="1:27" ht="62.25" customHeight="1" x14ac:dyDescent="0.1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row>
    <row r="315" spans="1:27" ht="62.25" customHeight="1" x14ac:dyDescent="0.1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row>
    <row r="316" spans="1:27" ht="62.25" customHeight="1" x14ac:dyDescent="0.1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row>
    <row r="317" spans="1:27" ht="62.25" customHeight="1" x14ac:dyDescent="0.1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row>
    <row r="318" spans="1:27" ht="62.25" customHeight="1" x14ac:dyDescent="0.1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row>
    <row r="319" spans="1:27" ht="62.25" customHeight="1" x14ac:dyDescent="0.1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row>
    <row r="320" spans="1:27" ht="62.25" customHeight="1" x14ac:dyDescent="0.1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row>
    <row r="321" spans="1:27" ht="62.25" customHeight="1" x14ac:dyDescent="0.1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row>
    <row r="322" spans="1:27" ht="62.25" customHeight="1" x14ac:dyDescent="0.1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row>
    <row r="323" spans="1:27" ht="62.25" customHeight="1" x14ac:dyDescent="0.1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row>
    <row r="324" spans="1:27" ht="62.25" customHeight="1" x14ac:dyDescent="0.1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row>
    <row r="325" spans="1:27" ht="62.25" customHeight="1" x14ac:dyDescent="0.1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row>
    <row r="326" spans="1:27" ht="62.25" customHeight="1" x14ac:dyDescent="0.1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row>
    <row r="327" spans="1:27" ht="62.25" customHeight="1" x14ac:dyDescent="0.1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row>
    <row r="328" spans="1:27" ht="62.25" customHeight="1" x14ac:dyDescent="0.1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row>
    <row r="329" spans="1:27" ht="62.25" customHeight="1" x14ac:dyDescent="0.1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row>
    <row r="330" spans="1:27" ht="62.25" customHeight="1" x14ac:dyDescent="0.1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row>
    <row r="331" spans="1:27" ht="62.25" customHeight="1" x14ac:dyDescent="0.1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row>
    <row r="332" spans="1:27" ht="62.25" customHeight="1" x14ac:dyDescent="0.1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row>
    <row r="333" spans="1:27" ht="62.25" customHeight="1" x14ac:dyDescent="0.1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row>
    <row r="334" spans="1:27" ht="62.25" customHeight="1" x14ac:dyDescent="0.1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row>
    <row r="335" spans="1:27" ht="62.25" customHeight="1" x14ac:dyDescent="0.1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row>
    <row r="336" spans="1:27" ht="62.25" customHeight="1" x14ac:dyDescent="0.1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row>
    <row r="337" spans="1:27" ht="62.25" customHeight="1" x14ac:dyDescent="0.1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row>
    <row r="338" spans="1:27" ht="62.25" customHeight="1" x14ac:dyDescent="0.1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row>
    <row r="339" spans="1:27" ht="62.25" customHeight="1" x14ac:dyDescent="0.1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row>
    <row r="340" spans="1:27" ht="62.25" customHeight="1" x14ac:dyDescent="0.1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row>
    <row r="341" spans="1:27" ht="62.25" customHeight="1" x14ac:dyDescent="0.1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row>
    <row r="342" spans="1:27" ht="62.25" customHeight="1" x14ac:dyDescent="0.1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row>
    <row r="343" spans="1:27" ht="62.25" customHeight="1" x14ac:dyDescent="0.1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row>
    <row r="344" spans="1:27" ht="62.25" customHeight="1" x14ac:dyDescent="0.1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row>
    <row r="345" spans="1:27" ht="62.25" customHeight="1" x14ac:dyDescent="0.1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row>
    <row r="346" spans="1:27" ht="62.25" customHeight="1" x14ac:dyDescent="0.1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row>
    <row r="347" spans="1:27" ht="62.25" customHeight="1" x14ac:dyDescent="0.1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row>
    <row r="348" spans="1:27" ht="62.25" customHeight="1" x14ac:dyDescent="0.1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row>
    <row r="349" spans="1:27" ht="62.25" customHeight="1" x14ac:dyDescent="0.1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row>
    <row r="350" spans="1:27" ht="62.25" customHeight="1" x14ac:dyDescent="0.1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row>
    <row r="351" spans="1:27" ht="62.25" customHeight="1" x14ac:dyDescent="0.1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row>
    <row r="352" spans="1:27" ht="62.25" customHeight="1" x14ac:dyDescent="0.1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row>
    <row r="353" spans="1:27" ht="62.25" customHeight="1" x14ac:dyDescent="0.1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row>
    <row r="354" spans="1:27" ht="62.25" customHeight="1" x14ac:dyDescent="0.1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row>
    <row r="355" spans="1:27" ht="62.25" customHeight="1" x14ac:dyDescent="0.1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row>
    <row r="356" spans="1:27" ht="62.25" customHeight="1" x14ac:dyDescent="0.1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row>
    <row r="357" spans="1:27" ht="62.25" customHeight="1" x14ac:dyDescent="0.1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row>
    <row r="358" spans="1:27" ht="62.25" customHeight="1" x14ac:dyDescent="0.1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row>
    <row r="359" spans="1:27" ht="62.25" customHeight="1" x14ac:dyDescent="0.1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row>
    <row r="360" spans="1:27" ht="62.25" customHeight="1" x14ac:dyDescent="0.1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row>
    <row r="361" spans="1:27" ht="62.25" customHeight="1" x14ac:dyDescent="0.1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row>
    <row r="362" spans="1:27" ht="62.25" customHeight="1" x14ac:dyDescent="0.1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row>
    <row r="363" spans="1:27" ht="62.25" customHeight="1" x14ac:dyDescent="0.1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row>
    <row r="364" spans="1:27" ht="62.25" customHeight="1" x14ac:dyDescent="0.1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row>
    <row r="365" spans="1:27" ht="62.25" customHeight="1" x14ac:dyDescent="0.1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row>
    <row r="366" spans="1:27" ht="62.25" customHeight="1" x14ac:dyDescent="0.1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row>
    <row r="367" spans="1:27" ht="62.25" customHeight="1" x14ac:dyDescent="0.1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row>
    <row r="368" spans="1:27" ht="62.25" customHeight="1" x14ac:dyDescent="0.1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row>
    <row r="369" spans="1:27" ht="62.25" customHeight="1" x14ac:dyDescent="0.1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row>
    <row r="370" spans="1:27" ht="62.25" customHeight="1" x14ac:dyDescent="0.1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row>
    <row r="371" spans="1:27" ht="62.25" customHeight="1" x14ac:dyDescent="0.1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row>
    <row r="372" spans="1:27" ht="62.25" customHeight="1" x14ac:dyDescent="0.1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row>
    <row r="373" spans="1:27" ht="62.25" customHeight="1" x14ac:dyDescent="0.1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row>
    <row r="374" spans="1:27" ht="62.25" customHeight="1" x14ac:dyDescent="0.1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row>
    <row r="375" spans="1:27" ht="62.25" customHeight="1" x14ac:dyDescent="0.1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row>
    <row r="376" spans="1:27" ht="62.25" customHeight="1" x14ac:dyDescent="0.1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row>
    <row r="377" spans="1:27" ht="62.25" customHeight="1" x14ac:dyDescent="0.1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row>
    <row r="378" spans="1:27" ht="62.25" customHeight="1" x14ac:dyDescent="0.1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row>
    <row r="379" spans="1:27" ht="62.25" customHeight="1" x14ac:dyDescent="0.1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row>
    <row r="380" spans="1:27" ht="62.25" customHeight="1" x14ac:dyDescent="0.1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row>
    <row r="381" spans="1:27" ht="62.25" customHeight="1" x14ac:dyDescent="0.1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row>
    <row r="382" spans="1:27" ht="62.25" customHeight="1" x14ac:dyDescent="0.1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row>
    <row r="383" spans="1:27" ht="62.25" customHeight="1" x14ac:dyDescent="0.1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row>
    <row r="384" spans="1:27" ht="62.25" customHeight="1" x14ac:dyDescent="0.1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row>
    <row r="385" spans="1:27" ht="62.25" customHeight="1" x14ac:dyDescent="0.1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row>
    <row r="386" spans="1:27" ht="62.25" customHeight="1" x14ac:dyDescent="0.1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row>
    <row r="387" spans="1:27" ht="62.25" customHeight="1" x14ac:dyDescent="0.1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row>
    <row r="388" spans="1:27" ht="62.25" customHeight="1" x14ac:dyDescent="0.1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row>
    <row r="389" spans="1:27" ht="62.25" customHeight="1" x14ac:dyDescent="0.1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row>
    <row r="390" spans="1:27" ht="62.25" customHeight="1" x14ac:dyDescent="0.1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row>
    <row r="391" spans="1:27" ht="62.25" customHeight="1" x14ac:dyDescent="0.1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row>
    <row r="392" spans="1:27" ht="62.25" customHeight="1" x14ac:dyDescent="0.1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row>
    <row r="393" spans="1:27" ht="62.25" customHeight="1" x14ac:dyDescent="0.1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row>
    <row r="394" spans="1:27" ht="62.25" customHeight="1" x14ac:dyDescent="0.1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row>
    <row r="395" spans="1:27" ht="62.25" customHeight="1" x14ac:dyDescent="0.1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row>
    <row r="396" spans="1:27" ht="62.25" customHeight="1" x14ac:dyDescent="0.1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row>
    <row r="397" spans="1:27" ht="62.25" customHeight="1" x14ac:dyDescent="0.1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row>
    <row r="398" spans="1:27" ht="62.25" customHeight="1" x14ac:dyDescent="0.1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row>
    <row r="399" spans="1:27" ht="62.25" customHeight="1" x14ac:dyDescent="0.1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row>
    <row r="400" spans="1:27" ht="62.25" customHeight="1" x14ac:dyDescent="0.1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row>
    <row r="401" spans="1:27" ht="62.25" customHeight="1" x14ac:dyDescent="0.1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row>
    <row r="402" spans="1:27" ht="62.25" customHeight="1" x14ac:dyDescent="0.1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row>
    <row r="403" spans="1:27" ht="62.25" customHeight="1" x14ac:dyDescent="0.1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row>
    <row r="404" spans="1:27" ht="62.25" customHeight="1" x14ac:dyDescent="0.1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row>
    <row r="405" spans="1:27" ht="62.25" customHeight="1" x14ac:dyDescent="0.1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row>
    <row r="406" spans="1:27" ht="62.25" customHeight="1" x14ac:dyDescent="0.1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row>
    <row r="407" spans="1:27" ht="62.25" customHeight="1" x14ac:dyDescent="0.1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row>
    <row r="408" spans="1:27" ht="62.25" customHeight="1" x14ac:dyDescent="0.1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row>
    <row r="409" spans="1:27" ht="62.25" customHeight="1" x14ac:dyDescent="0.1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row>
    <row r="410" spans="1:27" ht="62.25" customHeight="1" x14ac:dyDescent="0.1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row>
    <row r="411" spans="1:27" ht="62.25" customHeight="1" x14ac:dyDescent="0.1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row>
    <row r="412" spans="1:27" ht="62.25" customHeight="1" x14ac:dyDescent="0.1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row>
    <row r="413" spans="1:27" ht="62.25" customHeight="1" x14ac:dyDescent="0.1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row>
    <row r="414" spans="1:27" ht="62.25" customHeight="1" x14ac:dyDescent="0.1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row>
    <row r="415" spans="1:27" ht="62.25" customHeight="1" x14ac:dyDescent="0.1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row>
    <row r="416" spans="1:27" ht="62.25" customHeight="1" x14ac:dyDescent="0.1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row>
    <row r="417" spans="1:27" ht="62.25" customHeight="1" x14ac:dyDescent="0.1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row>
    <row r="418" spans="1:27" ht="62.25" customHeight="1" x14ac:dyDescent="0.1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row>
    <row r="419" spans="1:27" ht="62.25" customHeight="1" x14ac:dyDescent="0.1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row>
    <row r="420" spans="1:27" ht="62.25" customHeight="1" x14ac:dyDescent="0.1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row>
    <row r="421" spans="1:27" ht="62.25" customHeight="1" x14ac:dyDescent="0.1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row>
    <row r="422" spans="1:27" ht="62.25" customHeight="1" x14ac:dyDescent="0.1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row>
    <row r="423" spans="1:27" ht="62.25" customHeight="1" x14ac:dyDescent="0.1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row>
    <row r="424" spans="1:27" ht="62.25" customHeight="1" x14ac:dyDescent="0.1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row>
    <row r="425" spans="1:27" ht="62.25" customHeight="1" x14ac:dyDescent="0.1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row>
    <row r="426" spans="1:27" ht="62.25" customHeight="1" x14ac:dyDescent="0.1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row>
    <row r="427" spans="1:27" ht="62.25" customHeight="1" x14ac:dyDescent="0.1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row>
    <row r="428" spans="1:27" ht="62.25" customHeight="1" x14ac:dyDescent="0.1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row>
    <row r="429" spans="1:27" ht="62.25" customHeight="1" x14ac:dyDescent="0.1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row>
    <row r="430" spans="1:27" ht="62.25" customHeight="1" x14ac:dyDescent="0.1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row>
    <row r="431" spans="1:27" ht="62.25" customHeight="1" x14ac:dyDescent="0.1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row>
    <row r="432" spans="1:27" ht="62.25" customHeight="1" x14ac:dyDescent="0.1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row>
    <row r="433" spans="1:27" ht="62.25" customHeight="1" x14ac:dyDescent="0.1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row>
    <row r="434" spans="1:27" ht="62.25" customHeight="1" x14ac:dyDescent="0.1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row>
    <row r="435" spans="1:27" ht="62.25" customHeight="1" x14ac:dyDescent="0.1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row>
    <row r="436" spans="1:27" ht="62.25" customHeight="1" x14ac:dyDescent="0.1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row>
    <row r="437" spans="1:27" ht="62.25" customHeight="1" x14ac:dyDescent="0.1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row>
    <row r="438" spans="1:27" ht="62.25" customHeight="1" x14ac:dyDescent="0.1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row>
    <row r="439" spans="1:27" ht="62.25" customHeight="1" x14ac:dyDescent="0.1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row>
    <row r="440" spans="1:27" ht="62.25" customHeight="1" x14ac:dyDescent="0.1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row>
    <row r="441" spans="1:27" ht="62.25" customHeight="1" x14ac:dyDescent="0.1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row>
    <row r="442" spans="1:27" ht="62.25" customHeight="1" x14ac:dyDescent="0.1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row>
    <row r="443" spans="1:27" ht="62.25" customHeight="1" x14ac:dyDescent="0.1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row>
    <row r="444" spans="1:27" ht="62.25" customHeight="1" x14ac:dyDescent="0.1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row>
    <row r="445" spans="1:27" ht="62.25" customHeight="1" x14ac:dyDescent="0.1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row>
    <row r="446" spans="1:27" ht="62.25" customHeight="1" x14ac:dyDescent="0.1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row>
    <row r="447" spans="1:27" ht="62.25" customHeight="1" x14ac:dyDescent="0.1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row>
    <row r="448" spans="1:27" ht="62.25" customHeight="1" x14ac:dyDescent="0.1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row>
    <row r="449" spans="1:27" ht="62.25" customHeight="1" x14ac:dyDescent="0.1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row>
    <row r="450" spans="1:27" ht="62.25" customHeight="1" x14ac:dyDescent="0.1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row>
    <row r="451" spans="1:27" ht="62.25" customHeight="1" x14ac:dyDescent="0.1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row>
    <row r="452" spans="1:27" ht="62.25" customHeight="1" x14ac:dyDescent="0.1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row>
    <row r="453" spans="1:27" ht="62.25" customHeight="1" x14ac:dyDescent="0.1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row>
    <row r="454" spans="1:27" ht="62.25" customHeight="1" x14ac:dyDescent="0.1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row>
    <row r="455" spans="1:27" ht="62.25" customHeight="1" x14ac:dyDescent="0.1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row>
    <row r="456" spans="1:27" ht="62.25" customHeight="1" x14ac:dyDescent="0.1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row>
    <row r="457" spans="1:27" ht="62.25" customHeight="1" x14ac:dyDescent="0.1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row>
    <row r="458" spans="1:27" ht="62.25" customHeight="1" x14ac:dyDescent="0.1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row>
    <row r="459" spans="1:27" ht="62.25" customHeight="1" x14ac:dyDescent="0.1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row>
    <row r="460" spans="1:27" ht="62.25" customHeight="1" x14ac:dyDescent="0.1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row>
    <row r="461" spans="1:27" ht="62.25" customHeight="1" x14ac:dyDescent="0.1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row>
    <row r="462" spans="1:27" ht="62.25" customHeight="1" x14ac:dyDescent="0.1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row>
    <row r="463" spans="1:27" ht="62.25" customHeight="1" x14ac:dyDescent="0.1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row>
    <row r="464" spans="1:27" ht="62.25" customHeight="1" x14ac:dyDescent="0.1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row>
    <row r="465" spans="1:27" ht="62.25" customHeight="1" x14ac:dyDescent="0.1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row>
    <row r="466" spans="1:27" ht="62.25" customHeight="1" x14ac:dyDescent="0.1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row>
    <row r="467" spans="1:27" ht="62.25" customHeight="1" x14ac:dyDescent="0.1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row>
    <row r="468" spans="1:27" ht="62.25" customHeight="1" x14ac:dyDescent="0.1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row>
    <row r="469" spans="1:27" ht="62.25" customHeight="1" x14ac:dyDescent="0.1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row>
    <row r="470" spans="1:27" ht="62.25" customHeight="1" x14ac:dyDescent="0.1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row>
    <row r="471" spans="1:27" ht="62.25" customHeight="1" x14ac:dyDescent="0.1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row>
    <row r="472" spans="1:27" ht="62.25" customHeight="1" x14ac:dyDescent="0.1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row>
    <row r="473" spans="1:27" ht="62.25" customHeight="1" x14ac:dyDescent="0.1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row>
    <row r="474" spans="1:27" ht="62.25" customHeight="1" x14ac:dyDescent="0.1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row>
    <row r="475" spans="1:27" ht="62.25" customHeight="1" x14ac:dyDescent="0.1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row>
    <row r="476" spans="1:27" ht="62.25" customHeight="1" x14ac:dyDescent="0.1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row>
    <row r="477" spans="1:27" ht="62.25" customHeight="1" x14ac:dyDescent="0.1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row>
    <row r="478" spans="1:27" ht="62.25" customHeight="1" x14ac:dyDescent="0.1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row>
    <row r="479" spans="1:27" ht="62.25" customHeight="1" x14ac:dyDescent="0.1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row>
    <row r="480" spans="1:27" ht="62.25" customHeight="1" x14ac:dyDescent="0.1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row>
    <row r="481" spans="1:27" ht="62.25" customHeight="1" x14ac:dyDescent="0.1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row>
    <row r="482" spans="1:27" ht="62.25" customHeight="1" x14ac:dyDescent="0.1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row>
    <row r="483" spans="1:27" ht="62.25" customHeight="1" x14ac:dyDescent="0.1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row>
    <row r="484" spans="1:27" ht="62.25" customHeight="1" x14ac:dyDescent="0.1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row>
    <row r="485" spans="1:27" ht="62.25" customHeight="1" x14ac:dyDescent="0.1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row>
    <row r="486" spans="1:27" ht="62.25" customHeight="1" x14ac:dyDescent="0.1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row>
    <row r="487" spans="1:27" ht="62.25" customHeight="1" x14ac:dyDescent="0.1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row>
    <row r="488" spans="1:27" ht="62.25" customHeight="1" x14ac:dyDescent="0.1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row>
    <row r="489" spans="1:27" ht="62.25" customHeight="1" x14ac:dyDescent="0.1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row>
    <row r="490" spans="1:27" ht="62.25" customHeight="1" x14ac:dyDescent="0.1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row>
    <row r="491" spans="1:27" ht="62.25" customHeight="1" x14ac:dyDescent="0.1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row>
    <row r="492" spans="1:27" ht="62.25" customHeight="1" x14ac:dyDescent="0.1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row>
    <row r="493" spans="1:27" ht="62.25" customHeight="1" x14ac:dyDescent="0.1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row>
    <row r="494" spans="1:27" ht="62.25" customHeight="1" x14ac:dyDescent="0.1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row>
    <row r="495" spans="1:27" ht="62.25" customHeight="1" x14ac:dyDescent="0.1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row>
    <row r="496" spans="1:27" ht="62.25" customHeight="1" x14ac:dyDescent="0.1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row>
    <row r="497" spans="1:27" ht="62.25" customHeight="1" x14ac:dyDescent="0.1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row>
    <row r="498" spans="1:27" ht="62.25" customHeight="1" x14ac:dyDescent="0.1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row>
    <row r="499" spans="1:27" ht="62.25" customHeight="1" x14ac:dyDescent="0.1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row>
    <row r="500" spans="1:27" ht="62.25" customHeight="1" x14ac:dyDescent="0.1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row>
    <row r="501" spans="1:27" ht="62.25" customHeight="1" x14ac:dyDescent="0.1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row>
    <row r="502" spans="1:27" ht="62.25" customHeight="1" x14ac:dyDescent="0.1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row>
    <row r="503" spans="1:27" ht="62.25" customHeight="1" x14ac:dyDescent="0.1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row>
    <row r="504" spans="1:27" ht="62.25" customHeight="1" x14ac:dyDescent="0.1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row>
    <row r="505" spans="1:27" ht="62.25" customHeight="1" x14ac:dyDescent="0.1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row>
    <row r="506" spans="1:27" ht="62.25" customHeight="1" x14ac:dyDescent="0.1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row>
    <row r="507" spans="1:27" ht="62.25" customHeight="1" x14ac:dyDescent="0.1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row>
    <row r="508" spans="1:27" ht="62.25" customHeight="1" x14ac:dyDescent="0.1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row>
    <row r="509" spans="1:27" ht="62.25" customHeight="1" x14ac:dyDescent="0.1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row>
    <row r="510" spans="1:27" ht="62.25" customHeight="1" x14ac:dyDescent="0.1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row>
    <row r="511" spans="1:27" ht="62.25" customHeight="1" x14ac:dyDescent="0.1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row>
    <row r="512" spans="1:27" ht="62.25" customHeight="1" x14ac:dyDescent="0.1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row>
    <row r="513" spans="1:27" ht="62.25" customHeight="1" x14ac:dyDescent="0.1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row>
    <row r="514" spans="1:27" ht="62.25" customHeight="1" x14ac:dyDescent="0.1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row>
    <row r="515" spans="1:27" ht="62.25" customHeight="1" x14ac:dyDescent="0.1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row>
    <row r="516" spans="1:27" ht="62.25" customHeight="1" x14ac:dyDescent="0.1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row>
    <row r="517" spans="1:27" ht="62.25" customHeight="1" x14ac:dyDescent="0.1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row>
    <row r="518" spans="1:27" ht="62.25" customHeight="1" x14ac:dyDescent="0.1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row>
    <row r="519" spans="1:27" ht="62.25" customHeight="1" x14ac:dyDescent="0.1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row>
    <row r="520" spans="1:27" ht="62.25" customHeight="1" x14ac:dyDescent="0.1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row>
    <row r="521" spans="1:27" ht="62.25" customHeight="1" x14ac:dyDescent="0.1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row>
    <row r="522" spans="1:27" ht="62.25" customHeight="1" x14ac:dyDescent="0.1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row>
    <row r="523" spans="1:27" ht="62.25" customHeight="1" x14ac:dyDescent="0.1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row>
    <row r="524" spans="1:27" ht="62.25" customHeight="1" x14ac:dyDescent="0.1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row>
    <row r="525" spans="1:27" ht="62.25" customHeight="1" x14ac:dyDescent="0.1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row>
    <row r="526" spans="1:27" ht="62.25" customHeight="1" x14ac:dyDescent="0.1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row>
    <row r="527" spans="1:27" ht="62.25" customHeight="1" x14ac:dyDescent="0.1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row>
    <row r="528" spans="1:27" ht="62.25" customHeight="1" x14ac:dyDescent="0.1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row>
    <row r="529" spans="1:27" ht="62.25" customHeight="1" x14ac:dyDescent="0.1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row>
    <row r="530" spans="1:27" ht="62.25" customHeight="1" x14ac:dyDescent="0.1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row>
    <row r="531" spans="1:27" ht="62.25" customHeight="1" x14ac:dyDescent="0.1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row>
    <row r="532" spans="1:27" ht="62.25" customHeight="1" x14ac:dyDescent="0.1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row>
    <row r="533" spans="1:27" ht="62.25" customHeight="1" x14ac:dyDescent="0.1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row>
    <row r="534" spans="1:27" ht="62.25" customHeight="1" x14ac:dyDescent="0.1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row>
    <row r="535" spans="1:27" ht="62.25" customHeight="1" x14ac:dyDescent="0.1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row>
    <row r="536" spans="1:27" ht="62.25" customHeight="1" x14ac:dyDescent="0.1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row>
    <row r="537" spans="1:27" ht="62.25" customHeight="1" x14ac:dyDescent="0.1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row>
    <row r="538" spans="1:27" ht="62.25" customHeight="1" x14ac:dyDescent="0.1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row>
    <row r="539" spans="1:27" ht="62.25" customHeight="1" x14ac:dyDescent="0.1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row>
    <row r="540" spans="1:27" ht="62.25" customHeight="1" x14ac:dyDescent="0.1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row>
    <row r="541" spans="1:27" ht="62.25" customHeight="1" x14ac:dyDescent="0.1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row>
    <row r="542" spans="1:27" ht="62.25" customHeight="1" x14ac:dyDescent="0.1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row>
    <row r="543" spans="1:27" ht="62.25" customHeight="1" x14ac:dyDescent="0.1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row>
    <row r="544" spans="1:27" ht="62.25" customHeight="1" x14ac:dyDescent="0.1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row>
    <row r="545" spans="1:27" ht="62.25" customHeight="1" x14ac:dyDescent="0.1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row>
    <row r="546" spans="1:27" ht="62.25" customHeight="1" x14ac:dyDescent="0.1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row>
    <row r="547" spans="1:27" ht="62.25" customHeight="1" x14ac:dyDescent="0.1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row>
    <row r="548" spans="1:27" ht="62.25" customHeight="1" x14ac:dyDescent="0.1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row>
    <row r="549" spans="1:27" ht="62.25" customHeight="1" x14ac:dyDescent="0.1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row>
    <row r="550" spans="1:27" ht="62.25" customHeight="1" x14ac:dyDescent="0.1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row>
    <row r="551" spans="1:27" ht="62.25" customHeight="1" x14ac:dyDescent="0.1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row>
    <row r="552" spans="1:27" ht="62.25" customHeight="1" x14ac:dyDescent="0.1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row>
    <row r="553" spans="1:27" ht="62.25" customHeight="1" x14ac:dyDescent="0.1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row>
    <row r="554" spans="1:27" ht="62.25" customHeight="1" x14ac:dyDescent="0.1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row>
    <row r="555" spans="1:27" ht="62.25" customHeight="1" x14ac:dyDescent="0.1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row>
    <row r="556" spans="1:27" ht="62.25" customHeight="1" x14ac:dyDescent="0.1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row>
    <row r="557" spans="1:27" ht="62.25" customHeight="1" x14ac:dyDescent="0.1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row>
    <row r="558" spans="1:27" ht="62.25" customHeight="1" x14ac:dyDescent="0.1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row>
    <row r="559" spans="1:27" ht="62.25" customHeight="1" x14ac:dyDescent="0.1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row>
    <row r="560" spans="1:27" ht="62.25" customHeight="1" x14ac:dyDescent="0.1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row>
    <row r="561" spans="1:27" ht="62.25" customHeight="1" x14ac:dyDescent="0.1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row>
    <row r="562" spans="1:27" ht="62.25" customHeight="1" x14ac:dyDescent="0.1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row>
    <row r="563" spans="1:27" ht="62.25" customHeight="1" x14ac:dyDescent="0.1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row>
    <row r="564" spans="1:27" ht="62.25" customHeight="1" x14ac:dyDescent="0.1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row>
    <row r="565" spans="1:27" ht="62.25" customHeight="1" x14ac:dyDescent="0.1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row>
    <row r="566" spans="1:27" ht="62.25" customHeight="1" x14ac:dyDescent="0.1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row>
    <row r="567" spans="1:27" ht="62.25" customHeight="1" x14ac:dyDescent="0.1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row>
    <row r="568" spans="1:27" ht="62.25" customHeight="1" x14ac:dyDescent="0.1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row>
    <row r="569" spans="1:27" ht="62.25" customHeight="1" x14ac:dyDescent="0.1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row>
    <row r="570" spans="1:27" ht="62.25" customHeight="1" x14ac:dyDescent="0.1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row>
    <row r="571" spans="1:27" ht="62.25" customHeight="1" x14ac:dyDescent="0.1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row>
    <row r="572" spans="1:27" ht="62.25" customHeight="1" x14ac:dyDescent="0.1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row>
    <row r="573" spans="1:27" ht="62.25" customHeight="1" x14ac:dyDescent="0.1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row>
    <row r="574" spans="1:27" ht="62.25" customHeight="1" x14ac:dyDescent="0.1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row>
    <row r="575" spans="1:27" ht="62.25" customHeight="1" x14ac:dyDescent="0.1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row>
    <row r="576" spans="1:27" ht="62.25" customHeight="1" x14ac:dyDescent="0.1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row>
    <row r="577" spans="1:27" ht="62.25" customHeight="1" x14ac:dyDescent="0.1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row>
    <row r="578" spans="1:27" ht="62.25" customHeight="1" x14ac:dyDescent="0.1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row>
    <row r="579" spans="1:27" ht="62.25" customHeight="1" x14ac:dyDescent="0.1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row>
    <row r="580" spans="1:27" ht="62.25" customHeight="1" x14ac:dyDescent="0.1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row>
    <row r="581" spans="1:27" ht="62.25" customHeight="1" x14ac:dyDescent="0.1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row>
    <row r="582" spans="1:27" ht="62.25" customHeight="1" x14ac:dyDescent="0.1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row>
    <row r="583" spans="1:27" ht="62.25" customHeight="1" x14ac:dyDescent="0.1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row>
    <row r="584" spans="1:27" ht="62.25" customHeight="1" x14ac:dyDescent="0.1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row>
    <row r="585" spans="1:27" ht="62.25" customHeight="1" x14ac:dyDescent="0.1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row>
    <row r="586" spans="1:27" ht="62.25" customHeight="1" x14ac:dyDescent="0.1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row>
    <row r="587" spans="1:27" ht="62.25" customHeight="1" x14ac:dyDescent="0.1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row>
    <row r="588" spans="1:27" ht="62.25" customHeight="1" x14ac:dyDescent="0.1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row>
    <row r="589" spans="1:27" ht="62.25" customHeight="1" x14ac:dyDescent="0.1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row>
    <row r="590" spans="1:27" ht="62.25" customHeight="1" x14ac:dyDescent="0.1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row>
    <row r="591" spans="1:27" ht="62.25" customHeight="1" x14ac:dyDescent="0.1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row>
    <row r="592" spans="1:27" ht="62.25" customHeight="1" x14ac:dyDescent="0.1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row>
    <row r="593" spans="1:27" ht="62.25" customHeight="1" x14ac:dyDescent="0.1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row>
    <row r="594" spans="1:27" ht="62.25" customHeight="1" x14ac:dyDescent="0.1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row>
    <row r="595" spans="1:27" ht="62.25" customHeight="1" x14ac:dyDescent="0.1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row>
    <row r="596" spans="1:27" ht="62.25" customHeight="1" x14ac:dyDescent="0.1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row>
    <row r="597" spans="1:27" ht="62.25" customHeight="1" x14ac:dyDescent="0.1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row>
    <row r="598" spans="1:27" ht="62.25" customHeight="1" x14ac:dyDescent="0.1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row>
    <row r="599" spans="1:27" ht="62.25" customHeight="1" x14ac:dyDescent="0.1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row>
    <row r="600" spans="1:27" ht="62.25" customHeight="1" x14ac:dyDescent="0.1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row>
    <row r="601" spans="1:27" ht="62.25" customHeight="1" x14ac:dyDescent="0.1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row>
    <row r="602" spans="1:27" ht="62.25" customHeight="1" x14ac:dyDescent="0.1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row>
    <row r="603" spans="1:27" ht="62.25" customHeight="1" x14ac:dyDescent="0.1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row>
    <row r="604" spans="1:27" ht="62.25" customHeight="1" x14ac:dyDescent="0.1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row>
    <row r="605" spans="1:27" ht="62.25" customHeight="1" x14ac:dyDescent="0.1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row>
    <row r="606" spans="1:27" ht="62.25" customHeight="1" x14ac:dyDescent="0.1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row>
    <row r="607" spans="1:27" ht="62.25" customHeight="1" x14ac:dyDescent="0.1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row>
    <row r="608" spans="1:27" ht="62.25" customHeight="1" x14ac:dyDescent="0.1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row>
    <row r="609" spans="1:27" ht="62.25" customHeight="1" x14ac:dyDescent="0.1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row>
    <row r="610" spans="1:27" ht="62.25" customHeight="1" x14ac:dyDescent="0.1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row>
    <row r="611" spans="1:27" ht="62.25" customHeight="1" x14ac:dyDescent="0.1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row>
    <row r="612" spans="1:27" ht="62.25" customHeight="1" x14ac:dyDescent="0.1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row>
    <row r="613" spans="1:27" ht="62.25" customHeight="1" x14ac:dyDescent="0.1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row>
    <row r="614" spans="1:27" ht="62.25" customHeight="1" x14ac:dyDescent="0.1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row>
    <row r="615" spans="1:27" ht="62.25" customHeight="1" x14ac:dyDescent="0.1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row>
    <row r="616" spans="1:27" ht="62.25" customHeight="1" x14ac:dyDescent="0.1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row>
    <row r="617" spans="1:27" ht="62.25" customHeight="1" x14ac:dyDescent="0.1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row>
    <row r="618" spans="1:27" ht="62.25" customHeight="1" x14ac:dyDescent="0.1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row>
    <row r="619" spans="1:27" ht="62.25" customHeight="1" x14ac:dyDescent="0.1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row>
    <row r="620" spans="1:27" ht="62.25" customHeight="1" x14ac:dyDescent="0.1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row>
    <row r="621" spans="1:27" ht="62.25" customHeight="1" x14ac:dyDescent="0.1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row>
    <row r="622" spans="1:27" ht="62.25" customHeight="1" x14ac:dyDescent="0.1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row>
    <row r="623" spans="1:27" ht="62.25" customHeight="1" x14ac:dyDescent="0.1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row>
    <row r="624" spans="1:27" ht="62.25" customHeight="1" x14ac:dyDescent="0.1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row>
    <row r="625" spans="1:27" ht="62.25" customHeight="1" x14ac:dyDescent="0.1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row>
    <row r="626" spans="1:27" ht="62.25" customHeight="1" x14ac:dyDescent="0.1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row>
    <row r="627" spans="1:27" ht="62.25" customHeight="1" x14ac:dyDescent="0.1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row>
    <row r="628" spans="1:27" ht="62.25" customHeight="1" x14ac:dyDescent="0.1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row>
    <row r="629" spans="1:27" ht="62.25" customHeight="1" x14ac:dyDescent="0.1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row>
    <row r="630" spans="1:27" ht="62.25" customHeight="1" x14ac:dyDescent="0.1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row>
    <row r="631" spans="1:27" ht="62.25" customHeight="1" x14ac:dyDescent="0.1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row>
    <row r="632" spans="1:27" ht="62.25" customHeight="1" x14ac:dyDescent="0.1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row>
    <row r="633" spans="1:27" ht="62.25" customHeight="1" x14ac:dyDescent="0.1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row>
    <row r="634" spans="1:27" ht="62.25" customHeight="1" x14ac:dyDescent="0.1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row>
    <row r="635" spans="1:27" ht="62.25" customHeight="1" x14ac:dyDescent="0.1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row>
    <row r="636" spans="1:27" ht="62.25" customHeight="1" x14ac:dyDescent="0.1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row>
    <row r="637" spans="1:27" ht="62.25" customHeight="1" x14ac:dyDescent="0.1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row>
    <row r="638" spans="1:27" ht="62.25" customHeight="1" x14ac:dyDescent="0.1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row>
    <row r="639" spans="1:27" ht="62.25" customHeight="1" x14ac:dyDescent="0.1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row>
    <row r="640" spans="1:27" ht="62.25" customHeight="1" x14ac:dyDescent="0.1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row>
    <row r="641" spans="1:27" ht="62.25" customHeight="1" x14ac:dyDescent="0.1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row>
    <row r="642" spans="1:27" ht="62.25" customHeight="1" x14ac:dyDescent="0.1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row>
    <row r="643" spans="1:27" ht="62.25" customHeight="1" x14ac:dyDescent="0.1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row>
    <row r="644" spans="1:27" ht="62.25" customHeight="1" x14ac:dyDescent="0.1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row>
    <row r="645" spans="1:27" ht="62.25" customHeight="1" x14ac:dyDescent="0.1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row>
    <row r="646" spans="1:27" ht="62.25" customHeight="1" x14ac:dyDescent="0.1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row>
    <row r="647" spans="1:27" ht="62.25" customHeight="1" x14ac:dyDescent="0.1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row>
    <row r="648" spans="1:27" ht="62.25" customHeight="1" x14ac:dyDescent="0.1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row>
    <row r="649" spans="1:27" ht="62.25" customHeight="1" x14ac:dyDescent="0.1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row>
    <row r="650" spans="1:27" ht="62.25" customHeight="1" x14ac:dyDescent="0.1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row>
    <row r="651" spans="1:27" ht="62.25" customHeight="1" x14ac:dyDescent="0.1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row>
    <row r="652" spans="1:27" ht="62.25" customHeight="1" x14ac:dyDescent="0.1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row>
    <row r="653" spans="1:27" ht="62.25" customHeight="1" x14ac:dyDescent="0.1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row>
    <row r="654" spans="1:27" ht="62.25" customHeight="1" x14ac:dyDescent="0.1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row>
    <row r="655" spans="1:27" ht="62.25" customHeight="1" x14ac:dyDescent="0.1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row>
    <row r="656" spans="1:27" ht="62.25" customHeight="1" x14ac:dyDescent="0.1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row>
    <row r="657" spans="1:27" ht="62.25" customHeight="1" x14ac:dyDescent="0.1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row>
    <row r="658" spans="1:27" ht="62.25" customHeight="1" x14ac:dyDescent="0.1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row>
    <row r="659" spans="1:27" ht="62.25" customHeight="1" x14ac:dyDescent="0.1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row>
    <row r="660" spans="1:27" ht="62.25" customHeight="1" x14ac:dyDescent="0.1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row>
    <row r="661" spans="1:27" ht="62.25" customHeight="1" x14ac:dyDescent="0.1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row>
    <row r="662" spans="1:27" ht="62.25" customHeight="1" x14ac:dyDescent="0.1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row>
    <row r="663" spans="1:27" ht="62.25" customHeight="1" x14ac:dyDescent="0.1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row>
    <row r="664" spans="1:27" ht="62.25" customHeight="1" x14ac:dyDescent="0.1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row>
    <row r="665" spans="1:27" ht="62.25" customHeight="1" x14ac:dyDescent="0.1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row>
    <row r="666" spans="1:27" ht="62.25" customHeight="1" x14ac:dyDescent="0.1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row>
    <row r="667" spans="1:27" ht="62.25" customHeight="1" x14ac:dyDescent="0.1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row>
    <row r="668" spans="1:27" ht="62.25" customHeight="1" x14ac:dyDescent="0.1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row>
    <row r="669" spans="1:27" ht="62.25" customHeight="1" x14ac:dyDescent="0.1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row>
    <row r="670" spans="1:27" ht="62.25" customHeight="1" x14ac:dyDescent="0.1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row>
    <row r="671" spans="1:27" ht="62.25" customHeight="1" x14ac:dyDescent="0.1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row>
    <row r="672" spans="1:27" ht="62.25" customHeight="1" x14ac:dyDescent="0.1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row>
    <row r="673" spans="1:27" ht="62.25" customHeight="1" x14ac:dyDescent="0.1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row>
    <row r="674" spans="1:27" ht="62.25" customHeight="1" x14ac:dyDescent="0.1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row>
    <row r="675" spans="1:27" ht="62.25" customHeight="1" x14ac:dyDescent="0.1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row>
    <row r="676" spans="1:27" ht="62.25" customHeight="1" x14ac:dyDescent="0.1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row>
    <row r="677" spans="1:27" ht="62.25" customHeight="1" x14ac:dyDescent="0.1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row>
    <row r="678" spans="1:27" ht="62.25" customHeight="1" x14ac:dyDescent="0.1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row>
    <row r="679" spans="1:27" ht="62.25" customHeight="1" x14ac:dyDescent="0.1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row>
    <row r="680" spans="1:27" ht="62.25" customHeight="1" x14ac:dyDescent="0.1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row>
    <row r="681" spans="1:27" ht="62.25" customHeight="1" x14ac:dyDescent="0.1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row>
    <row r="682" spans="1:27" ht="62.25" customHeight="1" x14ac:dyDescent="0.1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row>
    <row r="683" spans="1:27" ht="62.25" customHeight="1" x14ac:dyDescent="0.1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row>
    <row r="684" spans="1:27" ht="62.25" customHeight="1" x14ac:dyDescent="0.1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row>
    <row r="685" spans="1:27" ht="62.25" customHeight="1" x14ac:dyDescent="0.1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row>
    <row r="686" spans="1:27" ht="62.25" customHeight="1" x14ac:dyDescent="0.1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row>
    <row r="687" spans="1:27" ht="62.25" customHeight="1" x14ac:dyDescent="0.1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row>
    <row r="688" spans="1:27" ht="62.25" customHeight="1" x14ac:dyDescent="0.1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row>
    <row r="689" spans="1:27" ht="62.25" customHeight="1" x14ac:dyDescent="0.1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row>
    <row r="690" spans="1:27" ht="62.25" customHeight="1" x14ac:dyDescent="0.1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row>
    <row r="691" spans="1:27" ht="62.25" customHeight="1" x14ac:dyDescent="0.1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row>
    <row r="692" spans="1:27" ht="62.25" customHeight="1" x14ac:dyDescent="0.1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row>
    <row r="693" spans="1:27" ht="62.25" customHeight="1" x14ac:dyDescent="0.1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row>
    <row r="694" spans="1:27" ht="62.25" customHeight="1" x14ac:dyDescent="0.1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row>
    <row r="695" spans="1:27" ht="62.25" customHeight="1" x14ac:dyDescent="0.1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row>
    <row r="696" spans="1:27" ht="62.25" customHeight="1" x14ac:dyDescent="0.1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row>
    <row r="697" spans="1:27" ht="62.25" customHeight="1" x14ac:dyDescent="0.1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row>
    <row r="698" spans="1:27" ht="62.25" customHeight="1" x14ac:dyDescent="0.1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row>
    <row r="699" spans="1:27" ht="62.25" customHeight="1" x14ac:dyDescent="0.1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row>
    <row r="700" spans="1:27" ht="62.25" customHeight="1" x14ac:dyDescent="0.1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row>
    <row r="701" spans="1:27" ht="62.25" customHeight="1" x14ac:dyDescent="0.1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row>
    <row r="702" spans="1:27" ht="62.25" customHeight="1" x14ac:dyDescent="0.1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row>
    <row r="703" spans="1:27" ht="62.25" customHeight="1" x14ac:dyDescent="0.1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row>
    <row r="704" spans="1:27" ht="62.25" customHeight="1" x14ac:dyDescent="0.1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row>
    <row r="705" spans="1:27" ht="62.25" customHeight="1" x14ac:dyDescent="0.1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row>
    <row r="706" spans="1:27" ht="62.25" customHeight="1" x14ac:dyDescent="0.1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row>
    <row r="707" spans="1:27" ht="62.25" customHeight="1" x14ac:dyDescent="0.1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row>
    <row r="708" spans="1:27" ht="62.25" customHeight="1" x14ac:dyDescent="0.1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row>
    <row r="709" spans="1:27" ht="62.25" customHeight="1" x14ac:dyDescent="0.1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row>
    <row r="710" spans="1:27" ht="62.25" customHeight="1" x14ac:dyDescent="0.1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row>
    <row r="711" spans="1:27" ht="62.25" customHeight="1" x14ac:dyDescent="0.1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row>
    <row r="712" spans="1:27" ht="62.25" customHeight="1" x14ac:dyDescent="0.1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row>
    <row r="713" spans="1:27" ht="62.25" customHeight="1" x14ac:dyDescent="0.1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row>
    <row r="714" spans="1:27" ht="62.25" customHeight="1" x14ac:dyDescent="0.1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row>
    <row r="715" spans="1:27" ht="62.25" customHeight="1" x14ac:dyDescent="0.1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row>
    <row r="716" spans="1:27" ht="62.25" customHeight="1" x14ac:dyDescent="0.1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row>
    <row r="717" spans="1:27" ht="62.25" customHeight="1" x14ac:dyDescent="0.1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row>
    <row r="718" spans="1:27" ht="62.25" customHeight="1" x14ac:dyDescent="0.1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row>
    <row r="719" spans="1:27" ht="62.25" customHeight="1" x14ac:dyDescent="0.1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row>
    <row r="720" spans="1:27" ht="62.25" customHeight="1" x14ac:dyDescent="0.1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row>
    <row r="721" spans="1:27" ht="62.25" customHeight="1" x14ac:dyDescent="0.1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row>
    <row r="722" spans="1:27" ht="62.25" customHeight="1" x14ac:dyDescent="0.1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row>
    <row r="723" spans="1:27" ht="62.25" customHeight="1" x14ac:dyDescent="0.1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row>
    <row r="724" spans="1:27" ht="62.25" customHeight="1" x14ac:dyDescent="0.1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row>
    <row r="725" spans="1:27" ht="62.25" customHeight="1" x14ac:dyDescent="0.1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row>
    <row r="726" spans="1:27" ht="62.25" customHeight="1" x14ac:dyDescent="0.1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row>
    <row r="727" spans="1:27" ht="62.25" customHeight="1" x14ac:dyDescent="0.1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row>
    <row r="728" spans="1:27" ht="62.25" customHeight="1" x14ac:dyDescent="0.1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row>
    <row r="729" spans="1:27" ht="62.25" customHeight="1" x14ac:dyDescent="0.1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row>
    <row r="730" spans="1:27" ht="62.25" customHeight="1" x14ac:dyDescent="0.1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row>
    <row r="731" spans="1:27" ht="62.25" customHeight="1" x14ac:dyDescent="0.1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row>
    <row r="732" spans="1:27" ht="62.25" customHeight="1" x14ac:dyDescent="0.1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row>
    <row r="733" spans="1:27" ht="62.25" customHeight="1" x14ac:dyDescent="0.1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row>
    <row r="734" spans="1:27" ht="62.25" customHeight="1" x14ac:dyDescent="0.1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row>
    <row r="735" spans="1:27" ht="62.25" customHeight="1" x14ac:dyDescent="0.1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row>
    <row r="736" spans="1:27" ht="62.25" customHeight="1" x14ac:dyDescent="0.1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row>
    <row r="737" spans="1:27" ht="62.25" customHeight="1" x14ac:dyDescent="0.1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row>
    <row r="738" spans="1:27" ht="62.25" customHeight="1" x14ac:dyDescent="0.1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row>
    <row r="739" spans="1:27" ht="62.25" customHeight="1" x14ac:dyDescent="0.1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row>
    <row r="740" spans="1:27" ht="62.25" customHeight="1" x14ac:dyDescent="0.1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row>
    <row r="741" spans="1:27" ht="62.25" customHeight="1" x14ac:dyDescent="0.1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row>
    <row r="742" spans="1:27" ht="62.25" customHeight="1" x14ac:dyDescent="0.1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row>
    <row r="743" spans="1:27" ht="62.25" customHeight="1" x14ac:dyDescent="0.1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row>
    <row r="744" spans="1:27" ht="62.25" customHeight="1" x14ac:dyDescent="0.1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row>
    <row r="745" spans="1:27" ht="62.25" customHeight="1" x14ac:dyDescent="0.1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row>
    <row r="746" spans="1:27" ht="62.25" customHeight="1" x14ac:dyDescent="0.1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row>
    <row r="747" spans="1:27" ht="62.25" customHeight="1" x14ac:dyDescent="0.1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row>
    <row r="748" spans="1:27" ht="62.25" customHeight="1" x14ac:dyDescent="0.1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row>
    <row r="749" spans="1:27" ht="62.25" customHeight="1" x14ac:dyDescent="0.1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row>
    <row r="750" spans="1:27" ht="62.25" customHeight="1" x14ac:dyDescent="0.1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row>
    <row r="751" spans="1:27" ht="62.25" customHeight="1" x14ac:dyDescent="0.1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row>
    <row r="752" spans="1:27" ht="62.25" customHeight="1" x14ac:dyDescent="0.1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row>
    <row r="753" spans="1:27" ht="62.25" customHeight="1" x14ac:dyDescent="0.1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row>
    <row r="754" spans="1:27" ht="62.25" customHeight="1" x14ac:dyDescent="0.1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row>
    <row r="755" spans="1:27" ht="62.25" customHeight="1" x14ac:dyDescent="0.1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row>
    <row r="756" spans="1:27" ht="62.25" customHeight="1" x14ac:dyDescent="0.1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row>
    <row r="757" spans="1:27" ht="62.25" customHeight="1" x14ac:dyDescent="0.1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row>
    <row r="758" spans="1:27" ht="62.25" customHeight="1" x14ac:dyDescent="0.1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row>
    <row r="759" spans="1:27" ht="62.25" customHeight="1" x14ac:dyDescent="0.1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row>
    <row r="760" spans="1:27" ht="62.25" customHeight="1" x14ac:dyDescent="0.1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row>
    <row r="761" spans="1:27" ht="62.25" customHeight="1" x14ac:dyDescent="0.1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row>
    <row r="762" spans="1:27" ht="62.25" customHeight="1" x14ac:dyDescent="0.1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row>
    <row r="763" spans="1:27" ht="62.25" customHeight="1" x14ac:dyDescent="0.1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row>
    <row r="764" spans="1:27" ht="62.25" customHeight="1" x14ac:dyDescent="0.1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row>
    <row r="765" spans="1:27" ht="62.25" customHeight="1" x14ac:dyDescent="0.1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row>
    <row r="766" spans="1:27" ht="62.25" customHeight="1" x14ac:dyDescent="0.1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row>
    <row r="767" spans="1:27" ht="62.25" customHeight="1" x14ac:dyDescent="0.1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row>
    <row r="768" spans="1:27" ht="62.25" customHeight="1" x14ac:dyDescent="0.1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row>
    <row r="769" spans="1:27" ht="62.25" customHeight="1" x14ac:dyDescent="0.1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row>
    <row r="770" spans="1:27" ht="62.25" customHeight="1" x14ac:dyDescent="0.1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row>
    <row r="771" spans="1:27" ht="62.25" customHeight="1" x14ac:dyDescent="0.1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row>
    <row r="772" spans="1:27" ht="62.25" customHeight="1" x14ac:dyDescent="0.1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row>
    <row r="773" spans="1:27" ht="62.25" customHeight="1" x14ac:dyDescent="0.1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row>
    <row r="774" spans="1:27" ht="62.25" customHeight="1" x14ac:dyDescent="0.1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row>
    <row r="775" spans="1:27" ht="62.25" customHeight="1" x14ac:dyDescent="0.1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row>
    <row r="776" spans="1:27" ht="62.25" customHeight="1" x14ac:dyDescent="0.1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row>
    <row r="777" spans="1:27" ht="62.25" customHeight="1" x14ac:dyDescent="0.1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row>
    <row r="778" spans="1:27" ht="62.25" customHeight="1" x14ac:dyDescent="0.1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row>
    <row r="779" spans="1:27" ht="62.25" customHeight="1" x14ac:dyDescent="0.1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row>
    <row r="780" spans="1:27" ht="62.25" customHeight="1" x14ac:dyDescent="0.1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row>
    <row r="781" spans="1:27" ht="62.25" customHeight="1" x14ac:dyDescent="0.1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row>
    <row r="782" spans="1:27" ht="62.25" customHeight="1" x14ac:dyDescent="0.1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row>
    <row r="783" spans="1:27" ht="62.25" customHeight="1" x14ac:dyDescent="0.1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row>
    <row r="784" spans="1:27" ht="62.25" customHeight="1" x14ac:dyDescent="0.1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row>
    <row r="785" spans="1:27" ht="62.25" customHeight="1" x14ac:dyDescent="0.1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row>
    <row r="786" spans="1:27" ht="62.25" customHeight="1" x14ac:dyDescent="0.1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row>
    <row r="787" spans="1:27" ht="62.25" customHeight="1" x14ac:dyDescent="0.1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row>
    <row r="788" spans="1:27" ht="62.25" customHeight="1" x14ac:dyDescent="0.1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row>
    <row r="789" spans="1:27" ht="62.25" customHeight="1" x14ac:dyDescent="0.1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row>
    <row r="790" spans="1:27" ht="62.25" customHeight="1" x14ac:dyDescent="0.1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row>
    <row r="791" spans="1:27" ht="62.25" customHeight="1" x14ac:dyDescent="0.1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row>
    <row r="792" spans="1:27" ht="62.25" customHeight="1" x14ac:dyDescent="0.1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row>
    <row r="793" spans="1:27" ht="62.25" customHeight="1" x14ac:dyDescent="0.1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row>
    <row r="794" spans="1:27" ht="62.25" customHeight="1" x14ac:dyDescent="0.1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row>
    <row r="795" spans="1:27" ht="62.25" customHeight="1" x14ac:dyDescent="0.1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row>
    <row r="796" spans="1:27" ht="62.25" customHeight="1" x14ac:dyDescent="0.1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row>
    <row r="797" spans="1:27" ht="62.25" customHeight="1" x14ac:dyDescent="0.1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row>
    <row r="798" spans="1:27" ht="62.25" customHeight="1" x14ac:dyDescent="0.1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row>
    <row r="799" spans="1:27" ht="62.25" customHeight="1" x14ac:dyDescent="0.1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row>
    <row r="800" spans="1:27" ht="62.25" customHeight="1" x14ac:dyDescent="0.1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row>
    <row r="801" spans="1:27" ht="62.25" customHeight="1" x14ac:dyDescent="0.1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row>
    <row r="802" spans="1:27" ht="62.25" customHeight="1" x14ac:dyDescent="0.1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row>
    <row r="803" spans="1:27" ht="62.25" customHeight="1" x14ac:dyDescent="0.1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row>
    <row r="804" spans="1:27" ht="62.25" customHeight="1" x14ac:dyDescent="0.1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row>
    <row r="805" spans="1:27" ht="62.25" customHeight="1" x14ac:dyDescent="0.1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row>
    <row r="806" spans="1:27" ht="62.25" customHeight="1" x14ac:dyDescent="0.1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row>
    <row r="807" spans="1:27" ht="62.25" customHeight="1" x14ac:dyDescent="0.1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row>
    <row r="808" spans="1:27" ht="62.25" customHeight="1" x14ac:dyDescent="0.1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row>
    <row r="809" spans="1:27" ht="62.25" customHeight="1" x14ac:dyDescent="0.1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row>
    <row r="810" spans="1:27" ht="62.25" customHeight="1" x14ac:dyDescent="0.1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row>
    <row r="811" spans="1:27" ht="62.25" customHeight="1" x14ac:dyDescent="0.1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row>
    <row r="812" spans="1:27" ht="62.25" customHeight="1" x14ac:dyDescent="0.1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row>
    <row r="813" spans="1:27" ht="62.25" customHeight="1" x14ac:dyDescent="0.1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row>
    <row r="814" spans="1:27" ht="62.25" customHeight="1" x14ac:dyDescent="0.1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row>
    <row r="815" spans="1:27" ht="62.25" customHeight="1" x14ac:dyDescent="0.1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row>
    <row r="816" spans="1:27" ht="62.25" customHeight="1" x14ac:dyDescent="0.1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row>
    <row r="817" spans="1:27" ht="62.25" customHeight="1" x14ac:dyDescent="0.1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row>
    <row r="818" spans="1:27" ht="62.25" customHeight="1" x14ac:dyDescent="0.1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row>
    <row r="819" spans="1:27" ht="62.25" customHeight="1" x14ac:dyDescent="0.1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row>
    <row r="820" spans="1:27" ht="62.25" customHeight="1" x14ac:dyDescent="0.1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row>
    <row r="821" spans="1:27" ht="62.25" customHeight="1" x14ac:dyDescent="0.1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row>
    <row r="822" spans="1:27" ht="62.25" customHeight="1" x14ac:dyDescent="0.1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row>
    <row r="823" spans="1:27" ht="62.25" customHeight="1" x14ac:dyDescent="0.1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row>
    <row r="824" spans="1:27" ht="62.25" customHeight="1" x14ac:dyDescent="0.1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row>
    <row r="825" spans="1:27" ht="62.25" customHeight="1" x14ac:dyDescent="0.1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row>
    <row r="826" spans="1:27" ht="62.25" customHeight="1" x14ac:dyDescent="0.1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row>
    <row r="827" spans="1:27" ht="62.25" customHeight="1" x14ac:dyDescent="0.1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row>
    <row r="828" spans="1:27" ht="62.25" customHeight="1" x14ac:dyDescent="0.1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row>
    <row r="829" spans="1:27" ht="62.25" customHeight="1" x14ac:dyDescent="0.1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row>
    <row r="830" spans="1:27" ht="62.25" customHeight="1" x14ac:dyDescent="0.1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row>
    <row r="831" spans="1:27" ht="62.25" customHeight="1" x14ac:dyDescent="0.1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row>
    <row r="832" spans="1:27" ht="62.25" customHeight="1" x14ac:dyDescent="0.1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row>
    <row r="833" spans="1:27" ht="62.25" customHeight="1" x14ac:dyDescent="0.1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row>
    <row r="834" spans="1:27" ht="62.25" customHeight="1" x14ac:dyDescent="0.1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row>
    <row r="835" spans="1:27" ht="62.25" customHeight="1" x14ac:dyDescent="0.1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row>
    <row r="836" spans="1:27" ht="62.25" customHeight="1" x14ac:dyDescent="0.1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row>
    <row r="837" spans="1:27" ht="62.25" customHeight="1" x14ac:dyDescent="0.1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row>
    <row r="838" spans="1:27" ht="62.25" customHeight="1" x14ac:dyDescent="0.1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row>
    <row r="839" spans="1:27" ht="62.25" customHeight="1" x14ac:dyDescent="0.1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row>
    <row r="840" spans="1:27" ht="62.25" customHeight="1" x14ac:dyDescent="0.1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row>
    <row r="841" spans="1:27" ht="62.25" customHeight="1" x14ac:dyDescent="0.1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row>
    <row r="842" spans="1:27" ht="62.25" customHeight="1" x14ac:dyDescent="0.1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row>
    <row r="843" spans="1:27" ht="62.25" customHeight="1" x14ac:dyDescent="0.1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row>
    <row r="844" spans="1:27" ht="62.25" customHeight="1" x14ac:dyDescent="0.1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row>
    <row r="845" spans="1:27" ht="62.25" customHeight="1" x14ac:dyDescent="0.1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row>
    <row r="846" spans="1:27" ht="62.25" customHeight="1" x14ac:dyDescent="0.1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row>
    <row r="847" spans="1:27" ht="62.25" customHeight="1" x14ac:dyDescent="0.1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row>
    <row r="848" spans="1:27" ht="62.25" customHeight="1" x14ac:dyDescent="0.1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row>
    <row r="849" spans="1:27" ht="62.25" customHeight="1" x14ac:dyDescent="0.1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row>
    <row r="850" spans="1:27" ht="62.25" customHeight="1" x14ac:dyDescent="0.1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row>
    <row r="851" spans="1:27" ht="62.25" customHeight="1" x14ac:dyDescent="0.1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row>
    <row r="852" spans="1:27" ht="62.25" customHeight="1" x14ac:dyDescent="0.1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row>
    <row r="853" spans="1:27" ht="62.25" customHeight="1" x14ac:dyDescent="0.1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row>
    <row r="854" spans="1:27" ht="62.25" customHeight="1" x14ac:dyDescent="0.1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row>
    <row r="855" spans="1:27" ht="62.25" customHeight="1" x14ac:dyDescent="0.1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row>
    <row r="856" spans="1:27" ht="62.25" customHeight="1" x14ac:dyDescent="0.1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row>
    <row r="857" spans="1:27" ht="62.25" customHeight="1" x14ac:dyDescent="0.1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row>
    <row r="858" spans="1:27" ht="62.25" customHeight="1" x14ac:dyDescent="0.1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row>
    <row r="859" spans="1:27" ht="62.25" customHeight="1" x14ac:dyDescent="0.1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row>
    <row r="860" spans="1:27" ht="62.25" customHeight="1" x14ac:dyDescent="0.1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row>
    <row r="861" spans="1:27" ht="62.25" customHeight="1" x14ac:dyDescent="0.1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row>
    <row r="862" spans="1:27" ht="62.25" customHeight="1" x14ac:dyDescent="0.1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row>
    <row r="863" spans="1:27" ht="62.25" customHeight="1" x14ac:dyDescent="0.1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row>
    <row r="864" spans="1:27" ht="62.25" customHeight="1" x14ac:dyDescent="0.1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row>
    <row r="865" spans="1:27" ht="62.25" customHeight="1" x14ac:dyDescent="0.1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row>
    <row r="866" spans="1:27" ht="62.25" customHeight="1" x14ac:dyDescent="0.1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row>
    <row r="867" spans="1:27" ht="62.25" customHeight="1" x14ac:dyDescent="0.1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row>
    <row r="868" spans="1:27" ht="62.25" customHeight="1" x14ac:dyDescent="0.1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row>
    <row r="869" spans="1:27" ht="62.25" customHeight="1" x14ac:dyDescent="0.1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row>
    <row r="870" spans="1:27" ht="62.25" customHeight="1" x14ac:dyDescent="0.1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row>
    <row r="871" spans="1:27" ht="62.25" customHeight="1" x14ac:dyDescent="0.1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row>
    <row r="872" spans="1:27" ht="62.25" customHeight="1" x14ac:dyDescent="0.1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row>
    <row r="873" spans="1:27" ht="62.25" customHeight="1" x14ac:dyDescent="0.1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row>
    <row r="874" spans="1:27" ht="62.25" customHeight="1" x14ac:dyDescent="0.1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row>
    <row r="875" spans="1:27" ht="62.25" customHeight="1" x14ac:dyDescent="0.1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row>
    <row r="876" spans="1:27" ht="62.25" customHeight="1" x14ac:dyDescent="0.1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row>
    <row r="877" spans="1:27" ht="62.25" customHeight="1" x14ac:dyDescent="0.1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row>
    <row r="878" spans="1:27" ht="62.25" customHeight="1" x14ac:dyDescent="0.1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row>
    <row r="879" spans="1:27" ht="62.25" customHeight="1" x14ac:dyDescent="0.1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row>
    <row r="880" spans="1:27" ht="62.25" customHeight="1" x14ac:dyDescent="0.1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row>
    <row r="881" spans="1:27" ht="62.25" customHeight="1" x14ac:dyDescent="0.1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row>
    <row r="882" spans="1:27" ht="62.25" customHeight="1" x14ac:dyDescent="0.1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row>
    <row r="883" spans="1:27" ht="62.25" customHeight="1" x14ac:dyDescent="0.1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row>
    <row r="884" spans="1:27" ht="62.25" customHeight="1" x14ac:dyDescent="0.1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row>
    <row r="885" spans="1:27" ht="62.25" customHeight="1" x14ac:dyDescent="0.1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row>
    <row r="886" spans="1:27" ht="62.25" customHeight="1" x14ac:dyDescent="0.1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row>
    <row r="887" spans="1:27" ht="62.25" customHeight="1" x14ac:dyDescent="0.1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row>
    <row r="888" spans="1:27" ht="62.25" customHeight="1" x14ac:dyDescent="0.1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row>
    <row r="889" spans="1:27" ht="62.25" customHeight="1" x14ac:dyDescent="0.1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row>
    <row r="890" spans="1:27" ht="62.25" customHeight="1" x14ac:dyDescent="0.1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row>
    <row r="891" spans="1:27" ht="62.25" customHeight="1" x14ac:dyDescent="0.1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row>
    <row r="892" spans="1:27" ht="62.25" customHeight="1" x14ac:dyDescent="0.1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row>
    <row r="893" spans="1:27" ht="62.25" customHeight="1" x14ac:dyDescent="0.1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row>
    <row r="894" spans="1:27" ht="62.25" customHeight="1" x14ac:dyDescent="0.1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row>
    <row r="895" spans="1:27" ht="62.25" customHeight="1" x14ac:dyDescent="0.1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row>
    <row r="896" spans="1:27" ht="62.25" customHeight="1" x14ac:dyDescent="0.1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row>
    <row r="897" spans="1:27" ht="62.25" customHeight="1" x14ac:dyDescent="0.1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row>
    <row r="898" spans="1:27" ht="62.25" customHeight="1" x14ac:dyDescent="0.1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row>
    <row r="899" spans="1:27" ht="62.25" customHeight="1" x14ac:dyDescent="0.1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row>
    <row r="900" spans="1:27" ht="62.25" customHeight="1" x14ac:dyDescent="0.1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row>
    <row r="901" spans="1:27" ht="62.25" customHeight="1" x14ac:dyDescent="0.1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row>
    <row r="902" spans="1:27" ht="62.25" customHeight="1" x14ac:dyDescent="0.1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row>
    <row r="903" spans="1:27" ht="62.25" customHeight="1" x14ac:dyDescent="0.1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row>
    <row r="904" spans="1:27" ht="62.25" customHeight="1" x14ac:dyDescent="0.1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row>
    <row r="905" spans="1:27" ht="62.25" customHeight="1" x14ac:dyDescent="0.1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row>
    <row r="906" spans="1:27" ht="62.25" customHeight="1" x14ac:dyDescent="0.1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row>
    <row r="907" spans="1:27" ht="62.25" customHeight="1" x14ac:dyDescent="0.1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row>
    <row r="908" spans="1:27" ht="62.25" customHeight="1" x14ac:dyDescent="0.1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row>
    <row r="909" spans="1:27" ht="62.25" customHeight="1" x14ac:dyDescent="0.1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row>
    <row r="910" spans="1:27" ht="62.25" customHeight="1" x14ac:dyDescent="0.1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row>
    <row r="911" spans="1:27" ht="62.25" customHeight="1" x14ac:dyDescent="0.1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row>
    <row r="912" spans="1:27" ht="62.25" customHeight="1" x14ac:dyDescent="0.1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row>
    <row r="913" spans="1:27" ht="62.25" customHeight="1" x14ac:dyDescent="0.1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row>
    <row r="914" spans="1:27" ht="62.25" customHeight="1" x14ac:dyDescent="0.1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row>
    <row r="915" spans="1:27" ht="62.25" customHeight="1" x14ac:dyDescent="0.1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row>
    <row r="916" spans="1:27" ht="62.25" customHeight="1" x14ac:dyDescent="0.1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row>
    <row r="917" spans="1:27" ht="62.25" customHeight="1" x14ac:dyDescent="0.1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row>
    <row r="918" spans="1:27" ht="62.25" customHeight="1" x14ac:dyDescent="0.1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row>
    <row r="919" spans="1:27" ht="62.25" customHeight="1" x14ac:dyDescent="0.1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row>
    <row r="920" spans="1:27" ht="62.25" customHeight="1" x14ac:dyDescent="0.1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row>
    <row r="921" spans="1:27" ht="62.25" customHeight="1" x14ac:dyDescent="0.1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row>
    <row r="922" spans="1:27" ht="62.25" customHeight="1" x14ac:dyDescent="0.1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row>
    <row r="923" spans="1:27" ht="62.25" customHeight="1" x14ac:dyDescent="0.1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row>
    <row r="924" spans="1:27" ht="62.25" customHeight="1" x14ac:dyDescent="0.1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row>
    <row r="925" spans="1:27" ht="62.25" customHeight="1" x14ac:dyDescent="0.1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row>
    <row r="926" spans="1:27" ht="62.25" customHeight="1" x14ac:dyDescent="0.1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row>
    <row r="927" spans="1:27" ht="62.25" customHeight="1" x14ac:dyDescent="0.1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row>
    <row r="928" spans="1:27" ht="62.25" customHeight="1" x14ac:dyDescent="0.1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row>
    <row r="929" spans="1:27" ht="62.25" customHeight="1" x14ac:dyDescent="0.1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row>
    <row r="930" spans="1:27" ht="62.25" customHeight="1" x14ac:dyDescent="0.1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row>
    <row r="931" spans="1:27" ht="62.25" customHeight="1" x14ac:dyDescent="0.1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row>
    <row r="932" spans="1:27" ht="62.25" customHeight="1" x14ac:dyDescent="0.1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row>
    <row r="933" spans="1:27" ht="62.25" customHeight="1" x14ac:dyDescent="0.1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row>
    <row r="934" spans="1:27" ht="62.25" customHeight="1" x14ac:dyDescent="0.1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row>
    <row r="935" spans="1:27" ht="62.25" customHeight="1" x14ac:dyDescent="0.1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row>
    <row r="936" spans="1:27" ht="62.25" customHeight="1" x14ac:dyDescent="0.1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row>
    <row r="937" spans="1:27" ht="62.25" customHeight="1" x14ac:dyDescent="0.1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row>
    <row r="938" spans="1:27" ht="62.25" customHeight="1" x14ac:dyDescent="0.1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row>
    <row r="939" spans="1:27" ht="62.25" customHeight="1" x14ac:dyDescent="0.1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row>
    <row r="940" spans="1:27" ht="62.25" customHeight="1" x14ac:dyDescent="0.1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row>
    <row r="941" spans="1:27" ht="62.25" customHeight="1" x14ac:dyDescent="0.1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row>
    <row r="942" spans="1:27" ht="62.25" customHeight="1" x14ac:dyDescent="0.1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row>
    <row r="943" spans="1:27" ht="62.25" customHeight="1" x14ac:dyDescent="0.1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row>
    <row r="944" spans="1:27" ht="62.25" customHeight="1" x14ac:dyDescent="0.1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row>
    <row r="945" spans="1:27" ht="62.25" customHeight="1" x14ac:dyDescent="0.1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row>
    <row r="946" spans="1:27" ht="62.25" customHeight="1" x14ac:dyDescent="0.1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row>
    <row r="947" spans="1:27" ht="62.25" customHeight="1" x14ac:dyDescent="0.1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row>
    <row r="948" spans="1:27" ht="62.25" customHeight="1" x14ac:dyDescent="0.1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row>
    <row r="949" spans="1:27" ht="62.25" customHeight="1" x14ac:dyDescent="0.1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row>
    <row r="950" spans="1:27" ht="62.25" customHeight="1" x14ac:dyDescent="0.1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row>
    <row r="951" spans="1:27" ht="62.25" customHeight="1" x14ac:dyDescent="0.1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row>
    <row r="952" spans="1:27" ht="62.25" customHeight="1" x14ac:dyDescent="0.1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row>
    <row r="953" spans="1:27" ht="62.25" customHeight="1" x14ac:dyDescent="0.1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row>
    <row r="954" spans="1:27" ht="62.25" customHeight="1" x14ac:dyDescent="0.1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row>
    <row r="955" spans="1:27" ht="62.25" customHeight="1" x14ac:dyDescent="0.1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row>
    <row r="956" spans="1:27" ht="62.25" customHeight="1" x14ac:dyDescent="0.1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row>
    <row r="957" spans="1:27" ht="62.25" customHeight="1" x14ac:dyDescent="0.1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row>
    <row r="958" spans="1:27" ht="62.25" customHeight="1" x14ac:dyDescent="0.1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row>
    <row r="959" spans="1:27" ht="62.25" customHeight="1" x14ac:dyDescent="0.1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row>
    <row r="960" spans="1:27" ht="62.25" customHeight="1" x14ac:dyDescent="0.1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row>
    <row r="961" spans="1:27" ht="62.25" customHeight="1" x14ac:dyDescent="0.1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row>
    <row r="962" spans="1:27" ht="62.25" customHeight="1" x14ac:dyDescent="0.1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row>
    <row r="963" spans="1:27" ht="62.25" customHeight="1" x14ac:dyDescent="0.1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row>
    <row r="964" spans="1:27" ht="62.25" customHeight="1" x14ac:dyDescent="0.1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row>
    <row r="965" spans="1:27" ht="62.25" customHeight="1" x14ac:dyDescent="0.1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row>
    <row r="966" spans="1:27" ht="62.25" customHeight="1" x14ac:dyDescent="0.1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row>
    <row r="967" spans="1:27" ht="62.25" customHeight="1" x14ac:dyDescent="0.1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row>
    <row r="968" spans="1:27" ht="62.25" customHeight="1" x14ac:dyDescent="0.1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row>
    <row r="969" spans="1:27" ht="62.25" customHeight="1" x14ac:dyDescent="0.1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row>
    <row r="970" spans="1:27" ht="62.25" customHeight="1" x14ac:dyDescent="0.1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row>
    <row r="971" spans="1:27" ht="62.25" customHeight="1" x14ac:dyDescent="0.1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row>
    <row r="972" spans="1:27" ht="62.25" customHeight="1" x14ac:dyDescent="0.1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row>
    <row r="973" spans="1:27" ht="62.25" customHeight="1" x14ac:dyDescent="0.1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row>
    <row r="974" spans="1:27" ht="62.25" customHeight="1" x14ac:dyDescent="0.1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row>
    <row r="975" spans="1:27" ht="62.25" customHeight="1" x14ac:dyDescent="0.1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row>
    <row r="976" spans="1:27" ht="62.25" customHeight="1" x14ac:dyDescent="0.1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row>
    <row r="977" spans="1:27" ht="62.25" customHeight="1" x14ac:dyDescent="0.1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row>
    <row r="978" spans="1:27" ht="62.25" customHeight="1" x14ac:dyDescent="0.1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row>
    <row r="979" spans="1:27" ht="62.25" customHeight="1" x14ac:dyDescent="0.1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row>
    <row r="980" spans="1:27" ht="62.25" customHeight="1" x14ac:dyDescent="0.1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row>
    <row r="981" spans="1:27" ht="62.25" customHeight="1" x14ac:dyDescent="0.1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row>
    <row r="982" spans="1:27" ht="62.25" customHeight="1" x14ac:dyDescent="0.1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row>
    <row r="983" spans="1:27" ht="62.25" customHeight="1" x14ac:dyDescent="0.1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row>
    <row r="984" spans="1:27" ht="62.25" customHeight="1" x14ac:dyDescent="0.1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row>
    <row r="985" spans="1:27" ht="62.25" customHeight="1" x14ac:dyDescent="0.1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row>
    <row r="986" spans="1:27" ht="62.25" customHeight="1" x14ac:dyDescent="0.1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row>
    <row r="987" spans="1:27" ht="62.25" customHeight="1" x14ac:dyDescent="0.1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row>
    <row r="988" spans="1:27" ht="62.25" customHeight="1" x14ac:dyDescent="0.1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row>
    <row r="989" spans="1:27" ht="62.25" customHeight="1" x14ac:dyDescent="0.1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row>
    <row r="990" spans="1:27" ht="62.25" customHeight="1" x14ac:dyDescent="0.1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row>
    <row r="991" spans="1:27" ht="62.25" customHeight="1" x14ac:dyDescent="0.1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row>
    <row r="992" spans="1:27" ht="62.25" customHeight="1" x14ac:dyDescent="0.1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row>
    <row r="993" spans="1:27" ht="62.25" customHeight="1" x14ac:dyDescent="0.1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row>
    <row r="994" spans="1:27" ht="62.25" customHeight="1" x14ac:dyDescent="0.1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row>
    <row r="995" spans="1:27" ht="62.25" customHeight="1" x14ac:dyDescent="0.1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row>
    <row r="996" spans="1:27" ht="62.25" customHeight="1" x14ac:dyDescent="0.1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row>
    <row r="997" spans="1:27" ht="62.25" customHeight="1" x14ac:dyDescent="0.1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row>
    <row r="998" spans="1:27" ht="62.25" customHeight="1" x14ac:dyDescent="0.1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row>
    <row r="999" spans="1:27" ht="62.25" customHeight="1" x14ac:dyDescent="0.1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row>
    <row r="1000" spans="1:27" ht="62.25" customHeight="1" x14ac:dyDescent="0.1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row>
  </sheetData>
  <hyperlinks>
    <hyperlink ref="B19" r:id="rId1" xr:uid="{00000000-0004-0000-0100-000000000000}"/>
    <hyperlink ref="B42" r:id="rId2" xr:uid="{00000000-0004-0000-0100-000001000000}"/>
    <hyperlink ref="E47" r:id="rId3" xr:uid="{00000000-0004-0000-0100-000002000000}"/>
    <hyperlink ref="G48" r:id="rId4" xr:uid="{00000000-0004-0000-0100-000003000000}"/>
    <hyperlink ref="G51" r:id="rId5" xr:uid="{00000000-0004-0000-0100-000004000000}"/>
    <hyperlink ref="G54" r:id="rId6" xr:uid="{00000000-0004-0000-0100-000005000000}"/>
    <hyperlink ref="G62" r:id="rId7" xr:uid="{00000000-0004-0000-0100-000006000000}"/>
    <hyperlink ref="B118" r:id="rId8" xr:uid="{00000000-0004-0000-0100-000007000000}"/>
    <hyperlink ref="B153" r:id="rId9" xr:uid="{00000000-0004-0000-0100-000008000000}"/>
    <hyperlink ref="B155" r:id="rId10" xr:uid="{00000000-0004-0000-0100-000009000000}"/>
    <hyperlink ref="B157" r:id="rId11" xr:uid="{00000000-0004-0000-0100-00000A000000}"/>
    <hyperlink ref="B158" r:id="rId12" xr:uid="{00000000-0004-0000-0100-00000B000000}"/>
  </hyperlinks>
  <pageMargins left="0.7" right="0.7" top="0.75" bottom="0.75" header="0" footer="0"/>
  <pageSetup orientation="portrait"/>
  <tableParts count="1">
    <tablePart r:id="rId1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Contact Information</vt:lpstr>
      <vt:lpstr>Process information</vt:lpstr>
      <vt:lpstr>email_address_0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David Tejuosho</cp:lastModifiedBy>
  <dcterms:created xsi:type="dcterms:W3CDTF">2021-05-01T22:19:37Z</dcterms:created>
  <dcterms:modified xsi:type="dcterms:W3CDTF">2022-06-28T20:33:50Z</dcterms:modified>
</cp:coreProperties>
</file>